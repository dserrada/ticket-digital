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2.xml" ContentType="application/vnd.openxmlformats-officedocument.spreadsheetml.worksheet+xml"/>
  <Override PartName="/xl/pivotTables/pivotTable10.xml" ContentType="application/vnd.openxmlformats-officedocument.spreadsheetml.pivot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Tables/pivotTable1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ava\ticket-digital-data\ticket-digital\projects\ticket-digital-data\src\main\resources\"/>
    </mc:Choice>
  </mc:AlternateContent>
  <bookViews>
    <workbookView xWindow="0" yWindow="0" windowWidth="28800" windowHeight="12180"/>
  </bookViews>
  <sheets>
    <sheet name="Datos" sheetId="6" r:id="rId1"/>
    <sheet name="Facturas" sheetId="20" r:id="rId17"/>
    <sheet name="Productos" sheetId="7" r:id="rId2"/>
    <sheet name="Pareto" sheetId="18" r:id="rId15"/>
    <sheet name="MiInflación" sheetId="16" r:id="rId3"/>
    <sheet name="Interanual" sheetId="19" r:id="rId16"/>
    <sheet name="T_Precio" sheetId="8" r:id="rId4"/>
    <sheet name="T_Cantidad" sheetId="15" r:id="rId5"/>
    <sheet name="Mes" sheetId="10" r:id="rId6"/>
    <sheet name="Año" sheetId="12" r:id="rId7"/>
    <sheet name="Último" sheetId="13" r:id="rId8"/>
    <sheet name="Evolucion-€" sheetId="14" r:id="rId9"/>
    <sheet name="Evolucion-N" sheetId="17" r:id="rId10"/>
    <sheet name="FacturasUnid" sheetId="21" r:id="rId18"/>
  </sheets>
  <definedNames>
    <definedName name="_xlnm._FilterDatabase" localSheetId="0" hidden="1">Datos!$A$1:$H$3</definedName>
    <definedName name="compras_mercadona" localSheetId="0">Datos!#REF!</definedName>
    <definedName name="export_personal_dataa" localSheetId="0">Datos!$A$1:$G$3</definedName>
    <definedName name="DatosTablaDinamica">OFFSET(Datos!$A$1,0,0,1048576,COUNTA(Datos!$1:$1))</definedName>
    <definedName name="FacturasTablaDinamica">OFFSET(Facturas!$A$1,0,0,COUNTA(Facturas!$A:$A),COUNTA(Facturas!$1:$1))</definedName>
  </definedNames>
  <calcPr calcId="162913" fullCalcOnLoad="1"/>
  <pivotCaches>
    <pivotCache cacheId="4" r:id="rId11"/>
    <pivotCache cacheId="5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dserrada@gmail.com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dserrada@gmail.com:</t>
        </r>
        <r>
          <rPr>
            <sz val="9"/>
            <color indexed="81"/>
            <rFont val="Tahoma"/>
            <charset val="1"/>
          </rPr>
          <t xml:space="preserve">
Para que en un futuro se pueda estimar que producto está a punto de acabarse. Es decir lleva más tiempo del normal sin comprarse</t>
        </r>
      </text>
    </comment>
  </commentList>
</comments>
</file>

<file path=xl/comments2.xml><?xml version="1.0" encoding="utf-8"?>
<comments xmlns="http://schemas.openxmlformats.org/spreadsheetml/2006/main">
  <authors>
    <author>dserrada@gmail.com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dserrada@gmail.com:</t>
        </r>
        <r>
          <rPr>
            <sz val="9"/>
            <color indexed="81"/>
            <rFont val="Tahoma"/>
            <charset val="1"/>
          </rPr>
          <t xml:space="preserve">
Se promedia al mes porque hay productos de temporada</t>
        </r>
      </text>
    </comment>
  </commentList>
</comments>
</file>

<file path=xl/sharedStrings.xml><?xml version="1.0" encoding="utf-8"?>
<sst xmlns="http://schemas.openxmlformats.org/spreadsheetml/2006/main" count="86" uniqueCount="36">
  <si>
    <t>BARRA DE PAN</t>
  </si>
  <si>
    <t>COCKTAIL RODEO</t>
  </si>
  <si>
    <t>Etiquetas de fila</t>
  </si>
  <si>
    <t>(en blanco)</t>
  </si>
  <si>
    <t>Total general</t>
  </si>
  <si>
    <t>&lt;16/06/2023</t>
  </si>
  <si>
    <t>2023</t>
  </si>
  <si>
    <t>jun</t>
  </si>
  <si>
    <t>id</t>
  </si>
  <si>
    <t>fecha</t>
  </si>
  <si>
    <t>unidades</t>
  </si>
  <si>
    <t>precioPorUnidad</t>
  </si>
  <si>
    <t>pesoKg</t>
  </si>
  <si>
    <t>precioKg</t>
  </si>
  <si>
    <t>precio</t>
  </si>
  <si>
    <t>Promedio de precioPorUnidad</t>
  </si>
  <si>
    <t>Suma de precio</t>
  </si>
  <si>
    <t>Cuenta de id</t>
  </si>
  <si>
    <t>(Todas)</t>
  </si>
  <si>
    <t>Máx. de fecha</t>
  </si>
  <si>
    <t>Suma de unidades</t>
  </si>
  <si>
    <t>Productos ordenados por el nº de veces que se han comprado (cada línea de ticket cuenta una vez), con su precio medio por unidad. Los productos a peso no tienen precio por unidad y salen vacíos.</t>
  </si>
  <si>
    <t>Unidades compradas por año y mes, en tabla y gráfica. El filtro id permite ver uno o varios productos; sin filtro suma todos. Los productos a peso cuentan 1 unidad por compra.</t>
  </si>
  <si>
    <t>Gasto total (€) por año y mes, en tabla y gráfica, sumando todas las compras. Sirve para ver qué meses se gasta más y cómo evoluciona el gasto.</t>
  </si>
  <si>
    <t>Fecha de la última compra de cada producto. Sirve para detectar productos que llevan más tiempo del habitual sin comprarse.</t>
  </si>
  <si>
    <t>Precio medio por unidad de un producto, mes a mes, en tabla y gráfica. Elige un único producto en el filtro id (con varios la media los mezcla). Los productos a peso no tienen precio por unidad.</t>
  </si>
  <si>
    <t>Unidades compradas de cada producto, de más a menos. El filtro fecha elige un mes del año (suma ese mes de todos los años) para ver qué se compra más en cada época.</t>
  </si>
  <si>
    <t>La cesta de la compra de cada año: qué productos se compraron, cuántas veces (líneas de ticket) y cuánto se gastó (€) en cada uno.</t>
  </si>
  <si>
    <t>Inflación de tu propia cesta de la compra (no es el IPC del INE): % de variación de precios frente al año base. Laspeyres pondera con lo comprado el año base; Paasche, con lo comprado cada año. Solo cuentan los productos comprados en ambos años (Productos coincidentes).</t>
  </si>
  <si>
    <t>Año</t>
  </si>
  <si>
    <t>Es año base</t>
  </si>
  <si>
    <t>Completo</t>
  </si>
  <si>
    <t>Laspeyres %</t>
  </si>
  <si>
    <t>Paasche %</t>
  </si>
  <si>
    <t>Productos coincidentes</t>
  </si>
  <si>
    <t>Unidades compradas de un producto cada año, en tabla y gráfica. Elige el producto en el filtro id (sin filtro suma todos). El primer y el último año pueden estar incompletos.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</si>
</sst>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€&quot;"/>
    <numFmt numFmtId="165" formatCode="dd/mm/yyyy\ hh:mm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1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" formatCode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" formatCode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[Mercadona-base.xlsx]T_Precio!TablaDinámica3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T_Precio!$B$4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6"/>
            <c:dispRSqr val="0"/>
            <c:dispEq val="0"/>
          </c:trendline>
          <c:cat>
            <c:multiLvlStrRef>
              <c:f>T_Precio!$A$5:$A$9</c:f>
              <c:multiLvlStrCache>
                <c:ptCount val="2"/>
                <c:lvl>
                  <c:pt idx="0">
                    <c:v>(en blanco)</c:v>
                  </c:pt>
                  <c:pt idx="1">
                    <c:v>jun</c:v>
                  </c:pt>
                </c:lvl>
                <c:lvl>
                  <c:pt idx="0">
                    <c:v>&lt;16/06/2023</c:v>
                  </c:pt>
                  <c:pt idx="1">
                    <c:v>2023</c:v>
                  </c:pt>
                </c:lvl>
              </c:multiLvlStrCache>
            </c:multiLvlStrRef>
          </c:cat>
          <c:val>
            <c:numRef>
              <c:f>T_Precio!$B$5:$B$9</c:f>
              <c:numCache>
                <c:formatCode>#,##0.00\ "€"</c:formatCode>
                <c:ptCount val="2"/>
                <c:pt idx="1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E-4325-9409-D67356104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070016"/>
        <c:axId val="665075840"/>
      </c:barChart>
      <c:catAx>
        <c:axId val="6650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5075840"/>
        <c:crosses val="autoZero"/>
        <c:auto val="1"/>
        <c:lblAlgn val="ctr"/>
        <c:lblOffset val="100"/>
        <c:noMultiLvlLbl val="0"/>
      </c:catAx>
      <c:valAx>
        <c:axId val="6650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50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[Mercadona-base.xlsx]T_Cantidad!TablaDinámica3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T_Cantidad!$B$4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T_Cantidad!$A$5:$A$9</c:f>
              <c:multiLvlStrCache>
                <c:ptCount val="2"/>
                <c:lvl>
                  <c:pt idx="0">
                    <c:v>(en blanco)</c:v>
                  </c:pt>
                  <c:pt idx="1">
                    <c:v>jun</c:v>
                  </c:pt>
                </c:lvl>
                <c:lvl>
                  <c:pt idx="0">
                    <c:v>&lt;16/06/2023</c:v>
                  </c:pt>
                  <c:pt idx="1">
                    <c:v>2023</c:v>
                  </c:pt>
                </c:lvl>
              </c:multiLvlStrCache>
            </c:multiLvlStrRef>
          </c:cat>
          <c:val>
            <c:numRef>
              <c:f>T_Cantidad!$B$5:$B$9</c:f>
              <c:numCache>
                <c:formatCode>0</c:formatCode>
                <c:ptCount val="2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95-4AA3-A281-60C39673F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070016"/>
        <c:axId val="665075840"/>
      </c:barChart>
      <c:catAx>
        <c:axId val="6650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5075840"/>
        <c:crosses val="autoZero"/>
        <c:auto val="1"/>
        <c:lblAlgn val="ctr"/>
        <c:lblOffset val="100"/>
        <c:noMultiLvlLbl val="0"/>
      </c:catAx>
      <c:valAx>
        <c:axId val="6650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50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[Mercadona-base.xlsx]Evolucion-€!TablaDinámica2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'Evolucion-€'!$B$6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'Evolucion-€'!$A$7:$A$11</c:f>
              <c:multiLvlStrCache>
                <c:ptCount val="2"/>
                <c:lvl>
                  <c:pt idx="0">
                    <c:v>(en blanco)</c:v>
                  </c:pt>
                  <c:pt idx="1">
                    <c:v>jun</c:v>
                  </c:pt>
                </c:lvl>
                <c:lvl>
                  <c:pt idx="0">
                    <c:v>&lt;16/06/2023</c:v>
                  </c:pt>
                  <c:pt idx="1">
                    <c:v>2023</c:v>
                  </c:pt>
                </c:lvl>
              </c:multiLvlStrCache>
            </c:multiLvlStrRef>
          </c:cat>
          <c:val>
            <c:numRef>
              <c:f>'Evolucion-€'!$B$7:$B$11</c:f>
              <c:numCache>
                <c:formatCode>General</c:formatCode>
                <c:ptCount val="2"/>
                <c:pt idx="1">
                  <c:v>1.115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C-4E99-B243-4F882E780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275551"/>
        <c:axId val="1461270559"/>
      </c:lineChart>
      <c:catAx>
        <c:axId val="146127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270559"/>
        <c:crosses val="autoZero"/>
        <c:auto val="1"/>
        <c:lblAlgn val="ctr"/>
        <c:lblOffset val="100"/>
        <c:noMultiLvlLbl val="0"/>
      </c:catAx>
      <c:valAx>
        <c:axId val="14612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27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[Mercadona-base.xlsx]Evolucion-N!TablaDinámica1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'Evolucion-N'!$B$6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'Evolucion-N'!$A$7:$A$9</c:f>
              <c:strCache>
                <c:ptCount val="2"/>
                <c:pt idx="0">
                  <c:v>&lt;16/06/2023</c:v>
                </c:pt>
                <c:pt idx="1">
                  <c:v>2023</c:v>
                </c:pt>
              </c:strCache>
            </c:strRef>
          </c:cat>
          <c:val>
            <c:numRef>
              <c:f>'Evolucion-N'!$B$7:$B$9</c:f>
              <c:numCache>
                <c:formatCode>General</c:formatCode>
                <c:ptCount val="2"/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5-4E5C-82B9-86F8C05DA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855232"/>
        <c:axId val="557857312"/>
      </c:lineChart>
      <c:catAx>
        <c:axId val="5578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857312"/>
        <c:crosses val="autoZero"/>
        <c:auto val="1"/>
        <c:lblAlgn val="ctr"/>
        <c:lblOffset val="100"/>
        <c:noMultiLvlLbl val="0"/>
      </c:catAx>
      <c:valAx>
        <c:axId val="5578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85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171450</xdr:rowOff>
    </xdr:from>
    <xdr:to>
      <xdr:col>20</xdr:col>
      <xdr:colOff>228600</xdr:colOff>
      <xdr:row>37</xdr:row>
      <xdr:rowOff>57149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171450</xdr:rowOff>
    </xdr:from>
    <xdr:to>
      <xdr:col>20</xdr:col>
      <xdr:colOff>228600</xdr:colOff>
      <xdr:row>37</xdr:row>
      <xdr:rowOff>57149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123826</xdr:colOff>
      <xdr:row>5</xdr:row>
      <xdr:rowOff>95250</xdr:rowOff>
    </xdr:from>
    <xdr:to>
      <xdr:col>15</xdr:col>
      <xdr:colOff>628650</xdr:colOff>
      <xdr:row>31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3</xdr:row>
      <xdr:rowOff>180975</xdr:rowOff>
    </xdr:from>
    <xdr:to>
      <xdr:col>15</xdr:col>
      <xdr:colOff>419100</xdr:colOff>
      <xdr:row>28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serrada@gmail.com" refreshedDate="46277.655617592594" createdVersion="6" refreshedVersion="6" minRefreshableVersion="3" recordCount="3">
  <cacheSource type="worksheet">
    <worksheetSource name="DatosTablaDinamica"/>
  </cacheSource>
  <cacheFields count="9">
    <cacheField name="id" numFmtId="0">
      <sharedItems containsBlank="1" count="3">
        <s v="COCKTAIL RODEO"/>
        <s v="BARRA DE PAN"/>
        <m/>
      </sharedItems>
    </cacheField>
    <cacheField name="fecha" numFmtId="14">
      <sharedItems containsNonDate="0" containsDate="1" containsString="0" containsBlank="1" minDate="2023-06-16T00:00:00" maxDate="2023-06-18T00:00:00" count="3">
        <d v="2023-06-16T00:00:00"/>
        <d v="2023-06-17T00:00:00"/>
        <m/>
      </sharedItems>
      <fieldGroup par="8" base="1">
        <rangePr groupBy="months" startDate="2023-06-16T00:00:00" endDate="2023-06-18T00:00:00"/>
        <groupItems count="14">
          <s v="(en blanco)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8/06/2023"/>
        </groupItems>
      </fieldGroup>
    </cacheField>
    <cacheField name="unidades" numFmtId="0">
      <sharedItems containsString="0" containsBlank="1" containsNumber="1" containsInteger="1" minValue="1" maxValue="2"/>
    </cacheField>
    <cacheField name="precioPorUnidad" numFmtId="0">
      <sharedItems containsString="0" containsBlank="1" containsNumber="1" minValue="0.48" maxValue="1.75"/>
    </cacheField>
    <cacheField name="pesoKg" numFmtId="0">
      <sharedItems containsNonDate="0" containsString="0" containsBlank="1"/>
    </cacheField>
    <cacheField name="precioKg" numFmtId="0">
      <sharedItems containsNonDate="0" containsString="0" containsBlank="1"/>
    </cacheField>
    <cacheField name="precio" numFmtId="0">
      <sharedItems containsString="0" containsBlank="1" containsNumber="1" minValue="0.48" maxValue="3.5"/>
    </cacheField>
    <cacheField name="factura" numFmtId="0">
      <sharedItems containsBlank="1" count="3">
        <s v="0000-000-000001"/>
        <s v="0000-000-000002"/>
        <m/>
      </sharedItems>
    </cacheField>
    <cacheField name="Años" numFmtId="0" databaseField="0">
      <fieldGroup base="1">
        <rangePr groupBy="years" startDate="2023-06-16T00:00:00" endDate="2023-06-18T00:00:00"/>
        <groupItems count="3">
          <s v="&lt;16/06/2023"/>
          <s v="2023"/>
          <s v="&gt;18/0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2">
  <cacheSource type="worksheet">
    <worksheetSource name="FacturasTablaDinamica"/>
  </cacheSource>
  <cacheFields count="6">
    <cacheField name="factura" numFmtId="0">
      <sharedItems/>
    </cacheField>
    <cacheField name="fecha" numFmtId="165">
      <sharedItems containsSemiMixedTypes="0" containsNonDate="0" containsDate="1" containsString="0" minDate="2023-06-16T00:00:00" maxDate="2023-06-17T00:00:00"/>
    </cacheField>
    <cacheField name="año" numFmtId="0">
      <sharedItems containsSemiMixedTypes="0" containsString="0" containsNumber="1" containsInteger="1" minValue="2023" maxValue="2023" count="1">
        <n v="2023"/>
      </sharedItems>
    </cacheField>
    <cacheField name="lineas" numFmtId="0">
      <sharedItems containsSemiMixedTypes="0" containsString="0" containsNumber="1" containsInteger="1" minValue="1" maxValue="1"/>
    </cacheField>
    <cacheField name="unidades" numFmtId="0">
      <sharedItems containsSemiMixedTypes="0" containsString="0" containsNumber="1" containsInteger="1" minValue="1" maxValue="2"/>
      <fieldGroup base="4">
        <rangePr autoStart="0" startNum="0" endNum="2" groupInterval="10"/>
        <groupItems count="3">
          <s v="&lt;0"/>
          <s v="0-9"/>
          <s v="&gt;10"/>
        </groupItems>
      </fieldGroup>
    </cacheField>
    <cacheField name="importe" numFmtId="164">
      <sharedItems containsSemiMixedTypes="0" containsString="0" containsNumber="1" minValue="0.48" maxValue="3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n v="2"/>
    <n v="1.75"/>
    <m/>
    <m/>
    <n v="3.5"/>
    <x v="0"/>
  </r>
  <r>
    <x v="1"/>
    <x v="1"/>
    <n v="1"/>
    <n v="0.48"/>
    <m/>
    <m/>
    <n v="0.48"/>
    <x v="1"/>
  </r>
  <r>
    <x v="2"/>
    <x v="2"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">
  <r>
    <s v="0000-000-000001"/>
    <d v="2023-06-16T00:00:00"/>
    <x v="0"/>
    <n v="1"/>
    <n v="2"/>
    <n v="3.5"/>
  </r>
  <r>
    <s v="0000-000-000002"/>
    <d v="2023-06-17T00:00:00"/>
    <x v="0"/>
    <n v="1"/>
    <n v="1"/>
    <n v="0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C8" firstHeaderRow="0" firstDataRow="1" firstDataCol="1"/>
  <pivotFields count="9">
    <pivotField axis="axisRow" dataField="1" showAll="0" sortType="descending" defaultSubtotal="0">
      <items count="3">
        <item x="1"/>
        <item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id" fld="0" subtotal="count" baseField="0" baseItem="0"/>
    <dataField name="Promedio de precioPorUnidad" fld="3" subtotal="average" baseField="0" baseItem="1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4:B9" firstHeaderRow="1" firstDataRow="1" firstDataCol="1"/>
  <pivotFields count="9">
    <pivotField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Row" showAll="0" defaultSubtotal="0">
      <items count="3">
        <item x="0"/>
        <item x="1"/>
        <item x="2"/>
      </items>
    </pivotField>
  </pivotFields>
  <rowFields count="2">
    <field x="8"/>
    <field x="1"/>
  </rowFields>
  <rowItems count="5">
    <i>
      <x/>
    </i>
    <i r="1">
      <x/>
    </i>
    <i>
      <x v="1"/>
    </i>
    <i r="1">
      <x v="6"/>
    </i>
    <i t="grand">
      <x/>
    </i>
  </rowItems>
  <colItems count="1">
    <i/>
  </colItems>
  <dataFields count="1">
    <dataField name="Suma de precio" fld="6" baseField="1" baseItem="10" numFmtId="164"/>
  </dataFields>
  <formats count="4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4:B9" firstHeaderRow="1" firstDataRow="1" firstDataCol="1" rowPageCount="1" colPageCount="1"/>
  <pivotFields count="9">
    <pivotField axis="axisPage" multipleItemSelectionAllowed="1" showAll="0" defaultSubtotal="0">
      <items count="3">
        <item x="1"/>
        <item x="0"/>
        <item x="2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1"/>
        <item x="2"/>
      </items>
    </pivotField>
  </pivotFields>
  <rowFields count="2">
    <field x="8"/>
    <field x="1"/>
  </rowFields>
  <rowItems count="5">
    <i>
      <x/>
    </i>
    <i r="1">
      <x/>
    </i>
    <i>
      <x v="1"/>
    </i>
    <i r="1">
      <x v="6"/>
    </i>
    <i t="grand">
      <x/>
    </i>
  </rowItems>
  <colItems count="1">
    <i/>
  </colItems>
  <pageFields count="1">
    <pageField fld="0" hier="-1"/>
  </pageFields>
  <dataFields count="1">
    <dataField name="Suma de unidades" fld="2" baseField="7" baseItem="0" numFmtId="1"/>
  </dataFields>
  <formats count="4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7:B11" firstHeaderRow="1" firstDataRow="1" firstDataCol="1" rowPageCount="1" colPageCount="1"/>
  <pivotFields count="9">
    <pivotField axis="axisRow" showAll="0" sortType="descending" defaultSubtotal="0">
      <items count="3">
        <item x="1"/>
        <item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1" hier="-1"/>
  </pageFields>
  <dataFields count="1">
    <dataField name="Suma de unidades" fld="2" baseField="0" baseItem="1" numFmtId="1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C10" firstHeaderRow="0" firstDataRow="1" firstDataCol="1"/>
  <pivotFields count="9"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axis="axisRow" showAll="0" defaultSubtotal="0">
      <items count="3">
        <item x="0"/>
        <item x="1"/>
        <item x="2"/>
      </items>
    </pivotField>
  </pivotFields>
  <rowFields count="2">
    <field x="8"/>
    <field x="0"/>
  </rowFields>
  <rowItems count="6">
    <i>
      <x/>
    </i>
    <i r="1">
      <x v="2"/>
    </i>
    <i>
      <x v="1"/>
    </i>
    <i r="1"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id" fld="0" subtotal="count" baseField="0" baseItem="0"/>
    <dataField name="Suma de precio" fld="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B8" firstHeaderRow="1" firstDataRow="1" firstDataCol="1"/>
  <pivotFields count="9">
    <pivotField axis="axisRow" multipleItemSelectionAllowe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áx. de fecha" fld="1" subtotal="max" baseField="0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6:B11" firstHeaderRow="1" firstDataRow="1" firstDataCol="1" rowPageCount="1" colPageCount="1"/>
  <pivotFields count="9">
    <pivotField axis="axisPage" showAll="0">
      <items count="4">
        <item x="1"/>
        <item x="0"/>
        <item x="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</pivotFields>
  <rowFields count="2">
    <field x="8"/>
    <field x="1"/>
  </rowFields>
  <rowItems count="5">
    <i>
      <x/>
    </i>
    <i r="1">
      <x/>
    </i>
    <i>
      <x v="1"/>
    </i>
    <i r="1">
      <x v="6"/>
    </i>
    <i t="grand">
      <x/>
    </i>
  </rowItems>
  <colItems count="1">
    <i/>
  </colItems>
  <pageFields count="1">
    <pageField fld="0" hier="-1"/>
  </pageFields>
  <dataFields count="1">
    <dataField name="Promedio de precioPorUnidad" fld="3" subtotal="average" baseField="7" baseItem="1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6:B9" firstHeaderRow="1" firstDataRow="1" firstDataCol="1" rowPageCount="1" colPageCount="1"/>
  <pivotFields count="9"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a de unidades" fld="2" baseField="7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Pareto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:D11" firstHeaderRow="0" firstDataRow="1" firstDataCol="1" rowPageCount="1" colPageCount="1"/>
  <pivotFields count="9">
    <pivotField axis="axisRow" dataField="1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Page" multipleItemSelectionAllowed="1" showAll="0" defaultSubtotal="0">
      <items count="3">
        <item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Gasto" fld="6" baseField="0" baseItem="0" numFmtId="164"/>
    <dataField name="% del gasto" fld="6" showDataAs="percentOfTotal" baseField="0" baseItem="0" numFmtId="10"/>
    <dataField name="Nº compra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Interanual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:C8" firstHeaderRow="1" firstDataRow="2" firstDataCol="1"/>
  <pivotFields count="9">
    <pivotField showAll="0" defaultSubtotal="0"/>
    <pivotField axis="axisRow" showAll="0" defaultSubtotal="0">
      <items count="14">
        <item x="0" h="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Col" showAll="0" defaultSubtotal="0">
      <items count="3">
        <item x="0"/>
        <item x="1"/>
        <item x="2"/>
      </items>
    </pivotField>
  </pivotFields>
  <rowFields count="1">
    <field x="1"/>
  </rowFields>
  <rowItems count="2">
    <i>
      <x v="6"/>
    </i>
    <i t="grand">
      <x/>
    </i>
  </rowItems>
  <colFields count="1">
    <field x="8"/>
  </colFields>
  <colItems count="2">
    <i>
      <x v="1"/>
    </i>
    <i t="grand">
      <x/>
    </i>
  </colItems>
  <dataFields count="1">
    <dataField name="Gasto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FacturasUnid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Unidades por ticket">
  <location ref="A7:D9" firstHeaderRow="0" firstDataRow="1" firstDataCol="1" rowPageCount="1" colPageCount="1"/>
  <pivotFields count="6">
    <pivotField dataField="1" showAll="0"/>
    <pivotField numFmtId="165" showAll="0"/>
    <pivotField axis="axisPage"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</pivotFields>
  <rowFields count="1">
    <field x="4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Facturas" fld="0" subtotal="count" baseField="0" baseItem="0"/>
    <dataField name="% facturas" fld="0" subtotal="count" showDataAs="percentOfCol" baseField="0" baseItem="0" numFmtId="10"/>
    <dataField name="Importe medio" fld="5" subtotal="average" baseField="0" baseItem="0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3" sqref="A3"/>
    </sheetView>
  </sheetViews>
  <sheetFormatPr baseColWidth="10" defaultRowHeight="15" x14ac:dyDescent="0.25"/>
  <cols>
    <col min="1" max="1" width="25" bestFit="1" customWidth="1"/>
    <col min="2" max="2" width="16.7109375" style="18" customWidth="1"/>
    <col min="3" max="3" width="9.140625" bestFit="1" customWidth="1"/>
    <col min="4" max="4" width="18.140625" bestFit="1" customWidth="1"/>
    <col min="5" max="5" width="9.7109375" bestFit="1" customWidth="1"/>
    <col min="6" max="6" width="11" bestFit="1" customWidth="1"/>
    <col min="7" max="7" width="8.85546875" bestFit="1" customWidth="1"/>
    <col min="8" max="8" width="17.7109375" customWidth="1"/>
  </cols>
  <sheetData>
    <row r="1" spans="1:8" x14ac:dyDescent="0.25">
      <c r="A1" t="s">
        <v>8</v>
      </c>
      <c r="B1" s="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inlineStr">
        <is>
          <t>factura</t>
        </is>
      </c>
    </row>
    <row r="2" spans="1:8" x14ac:dyDescent="0.25">
      <c r="A2" t="s">
        <v>1</v>
      </c>
      <c r="B2" s="18">
        <v>45093</v>
      </c>
      <c r="C2">
        <v>2</v>
      </c>
      <c r="D2">
        <v>1.75</v>
      </c>
      <c r="G2">
        <v>3.5</v>
      </c>
      <c r="H2" t="inlineStr">
        <is>
          <t>0000-000-000001</t>
        </is>
      </c>
    </row>
    <row r="3" spans="1:8" x14ac:dyDescent="0.25">
      <c r="A3" t="s">
        <v>0</v>
      </c>
      <c r="B3" s="18">
        <v>45094</v>
      </c>
      <c r="C3">
        <v>1</v>
      </c>
      <c r="D3">
        <v>0.48</v>
      </c>
      <c r="G3">
        <v>0.48</v>
      </c>
      <c r="H3" t="inlineStr">
        <is>
          <t>0000-000-000002</t>
        </is>
      </c>
    </row>
  </sheetData>
  <autoFilter ref="A1:H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8"/>
  <sheetViews>
    <sheetView workbookViewId="0">
      <selection activeCell="D2" sqref="D2"/>
    </sheetView>
  </sheetViews>
  <sheetFormatPr baseColWidth="10" defaultRowHeight="15" x14ac:dyDescent="0.25"/>
  <cols>
    <col min="1" max="1" width="17.5703125" customWidth="1"/>
    <col min="2" max="2" width="12.140625" bestFit="1" customWidth="1"/>
    <col min="3" max="3" width="28.28515625" style="6" bestFit="1" customWidth="1"/>
  </cols>
  <sheetData>
    <row r="1" spans="1:4" x14ac:dyDescent="0.25">
      <c r="D1" t="s">
        <v>21</v>
      </c>
    </row>
    <row r="4" spans="1:4" x14ac:dyDescent="0.25">
      <c r="A4" s="2" t="s">
        <v>2</v>
      </c>
      <c r="B4" t="s">
        <v>17</v>
      </c>
      <c r="C4" t="s">
        <v>15</v>
      </c>
    </row>
    <row r="5" spans="1:4" x14ac:dyDescent="0.25">
      <c r="A5" s="3" t="s">
        <v>0</v>
      </c>
      <c r="B5" s="4">
        <v>1</v>
      </c>
      <c r="C5" s="6">
        <v>0.48</v>
      </c>
    </row>
    <row r="6" spans="1:4" x14ac:dyDescent="0.25">
      <c r="A6" s="3" t="s">
        <v>1</v>
      </c>
      <c r="B6" s="4">
        <v>1</v>
      </c>
      <c r="C6" s="6">
        <v>1.75</v>
      </c>
    </row>
    <row r="7" spans="1:4" x14ac:dyDescent="0.25">
      <c r="A7" s="3" t="s">
        <v>3</v>
      </c>
      <c r="B7" s="4"/>
    </row>
    <row r="8" spans="1:4" x14ac:dyDescent="0.25">
      <c r="A8" s="3" t="s">
        <v>4</v>
      </c>
      <c r="B8" s="4">
        <v>2</v>
      </c>
      <c r="C8" s="6">
        <v>1.115</v>
      </c>
    </row>
    <row r="9" spans="1:4" x14ac:dyDescent="0.25">
      <c r="C9"/>
    </row>
    <row r="10" spans="1:4" x14ac:dyDescent="0.25">
      <c r="C10"/>
    </row>
    <row r="11" spans="1:4" x14ac:dyDescent="0.25">
      <c r="C11"/>
    </row>
    <row r="12" spans="1:4" x14ac:dyDescent="0.25">
      <c r="C12"/>
    </row>
    <row r="13" spans="1:4" x14ac:dyDescent="0.25">
      <c r="C13"/>
    </row>
    <row r="14" spans="1:4" x14ac:dyDescent="0.25">
      <c r="C14"/>
    </row>
    <row r="15" spans="1:4" x14ac:dyDescent="0.25">
      <c r="C15"/>
    </row>
    <row r="16" spans="1:4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workbookViewId="0">
      <selection activeCell="B10" sqref="B10"/>
    </sheetView>
  </sheetViews>
  <sheetFormatPr baseColWidth="10" defaultRowHeight="15" x14ac:dyDescent="0.25"/>
  <cols>
    <col min="6" max="6" width="21.85546875" bestFit="1" customWidth="1"/>
  </cols>
  <sheetData>
    <row r="2" spans="1:6" x14ac:dyDescent="0.25">
      <c r="C2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3"/>
  <sheetViews>
    <sheetView workbookViewId="0">
      <selection activeCell="D2" sqref="D2"/>
    </sheetView>
  </sheetViews>
  <sheetFormatPr baseColWidth="10" defaultRowHeight="15" x14ac:dyDescent="0.25"/>
  <cols>
    <col min="1" max="1" width="17.5703125" customWidth="1"/>
    <col min="2" max="2" width="14.5703125" style="6" customWidth="1"/>
    <col min="3" max="3" width="17" style="7" bestFit="1" customWidth="1"/>
  </cols>
  <sheetData>
    <row r="1" spans="1:4" x14ac:dyDescent="0.25">
      <c r="B1"/>
      <c r="D1" t="s">
        <v>23</v>
      </c>
    </row>
    <row r="2" spans="1:4" x14ac:dyDescent="0.25">
      <c r="B2"/>
    </row>
    <row r="4" spans="1:4" x14ac:dyDescent="0.25">
      <c r="A4" s="2" t="s">
        <v>2</v>
      </c>
      <c r="B4" s="6" t="s">
        <v>16</v>
      </c>
      <c r="C4"/>
    </row>
    <row r="5" spans="1:4" x14ac:dyDescent="0.25">
      <c r="A5" s="3" t="s">
        <v>5</v>
      </c>
      <c r="C5"/>
    </row>
    <row r="6" spans="1:4" x14ac:dyDescent="0.25">
      <c r="A6" s="5" t="s">
        <v>3</v>
      </c>
      <c r="C6"/>
    </row>
    <row r="7" spans="1:4" x14ac:dyDescent="0.25">
      <c r="A7" s="3" t="s">
        <v>6</v>
      </c>
      <c r="C7"/>
    </row>
    <row r="8" spans="1:4" x14ac:dyDescent="0.25">
      <c r="A8" s="5" t="s">
        <v>7</v>
      </c>
      <c r="B8" s="6">
        <v>3.98</v>
      </c>
      <c r="C8"/>
    </row>
    <row r="9" spans="1:4" x14ac:dyDescent="0.25">
      <c r="A9" s="3" t="s">
        <v>4</v>
      </c>
      <c r="B9" s="6">
        <v>3.98</v>
      </c>
      <c r="C9"/>
    </row>
    <row r="10" spans="1:4" x14ac:dyDescent="0.25">
      <c r="B10"/>
      <c r="C10"/>
    </row>
    <row r="11" spans="1:4" x14ac:dyDescent="0.25">
      <c r="B11"/>
      <c r="C11"/>
    </row>
    <row r="12" spans="1:4" x14ac:dyDescent="0.25">
      <c r="B12"/>
      <c r="C12"/>
    </row>
    <row r="13" spans="1:4" x14ac:dyDescent="0.25">
      <c r="B13"/>
      <c r="C13"/>
    </row>
    <row r="14" spans="1:4" x14ac:dyDescent="0.25">
      <c r="B14"/>
      <c r="C14"/>
    </row>
    <row r="15" spans="1:4" x14ac:dyDescent="0.25">
      <c r="B15"/>
      <c r="C15"/>
    </row>
    <row r="16" spans="1: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2:3" x14ac:dyDescent="0.25">
      <c r="B737"/>
      <c r="C737"/>
    </row>
    <row r="738" spans="2:3" x14ac:dyDescent="0.25">
      <c r="B738"/>
      <c r="C738"/>
    </row>
    <row r="739" spans="2:3" x14ac:dyDescent="0.25">
      <c r="B739"/>
      <c r="C739"/>
    </row>
    <row r="740" spans="2:3" x14ac:dyDescent="0.25">
      <c r="B740"/>
      <c r="C740"/>
    </row>
    <row r="741" spans="2:3" x14ac:dyDescent="0.25">
      <c r="B741"/>
      <c r="C741"/>
    </row>
    <row r="742" spans="2:3" x14ac:dyDescent="0.25">
      <c r="B742"/>
      <c r="C742"/>
    </row>
    <row r="743" spans="2:3" x14ac:dyDescent="0.25">
      <c r="B743"/>
      <c r="C743"/>
    </row>
    <row r="744" spans="2:3" x14ac:dyDescent="0.25">
      <c r="B744"/>
      <c r="C744"/>
    </row>
    <row r="745" spans="2:3" x14ac:dyDescent="0.25">
      <c r="B745"/>
      <c r="C745"/>
    </row>
    <row r="746" spans="2:3" x14ac:dyDescent="0.25">
      <c r="B746"/>
      <c r="C746"/>
    </row>
    <row r="747" spans="2:3" x14ac:dyDescent="0.25">
      <c r="B747"/>
      <c r="C747"/>
    </row>
    <row r="748" spans="2:3" x14ac:dyDescent="0.25">
      <c r="B748"/>
      <c r="C748"/>
    </row>
    <row r="749" spans="2:3" x14ac:dyDescent="0.25">
      <c r="B749"/>
      <c r="C749"/>
    </row>
    <row r="750" spans="2:3" x14ac:dyDescent="0.25">
      <c r="B750"/>
      <c r="C750"/>
    </row>
    <row r="751" spans="2:3" x14ac:dyDescent="0.25">
      <c r="B751"/>
      <c r="C751"/>
    </row>
    <row r="752" spans="2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2:3" x14ac:dyDescent="0.25">
      <c r="B1105"/>
      <c r="C1105"/>
    </row>
    <row r="1106" spans="2:3" x14ac:dyDescent="0.25">
      <c r="B1106"/>
      <c r="C1106"/>
    </row>
    <row r="1107" spans="2:3" x14ac:dyDescent="0.25">
      <c r="B1107"/>
      <c r="C1107"/>
    </row>
    <row r="1108" spans="2:3" x14ac:dyDescent="0.25">
      <c r="B1108"/>
      <c r="C1108"/>
    </row>
    <row r="1109" spans="2:3" x14ac:dyDescent="0.25">
      <c r="B1109"/>
      <c r="C1109"/>
    </row>
    <row r="1110" spans="2:3" x14ac:dyDescent="0.25">
      <c r="B1110"/>
      <c r="C1110"/>
    </row>
    <row r="1111" spans="2:3" x14ac:dyDescent="0.25">
      <c r="B1111"/>
      <c r="C1111"/>
    </row>
    <row r="1112" spans="2:3" x14ac:dyDescent="0.25">
      <c r="B1112"/>
      <c r="C1112"/>
    </row>
    <row r="1113" spans="2:3" x14ac:dyDescent="0.25">
      <c r="B1113"/>
      <c r="C1113"/>
    </row>
    <row r="1114" spans="2:3" x14ac:dyDescent="0.25">
      <c r="B1114"/>
      <c r="C1114"/>
    </row>
    <row r="1115" spans="2:3" x14ac:dyDescent="0.25">
      <c r="B1115"/>
      <c r="C1115"/>
    </row>
    <row r="1116" spans="2:3" x14ac:dyDescent="0.25">
      <c r="B1116"/>
      <c r="C1116"/>
    </row>
    <row r="1117" spans="2:3" x14ac:dyDescent="0.25">
      <c r="B1117"/>
      <c r="C1117"/>
    </row>
    <row r="1118" spans="2:3" x14ac:dyDescent="0.25">
      <c r="B1118"/>
      <c r="C1118"/>
    </row>
    <row r="1119" spans="2:3" x14ac:dyDescent="0.25">
      <c r="B1119"/>
      <c r="C1119"/>
    </row>
    <row r="1120" spans="2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2:3" x14ac:dyDescent="0.25">
      <c r="B1457"/>
      <c r="C1457"/>
    </row>
    <row r="1458" spans="2:3" x14ac:dyDescent="0.25">
      <c r="B1458"/>
      <c r="C1458"/>
    </row>
    <row r="1459" spans="2:3" x14ac:dyDescent="0.25">
      <c r="B1459"/>
      <c r="C1459"/>
    </row>
    <row r="1460" spans="2:3" x14ac:dyDescent="0.25">
      <c r="B1460"/>
      <c r="C1460"/>
    </row>
    <row r="1461" spans="2:3" x14ac:dyDescent="0.25">
      <c r="B1461"/>
      <c r="C1461"/>
    </row>
    <row r="1462" spans="2:3" x14ac:dyDescent="0.25">
      <c r="B1462"/>
      <c r="C1462"/>
    </row>
    <row r="1463" spans="2:3" x14ac:dyDescent="0.25">
      <c r="B1463"/>
      <c r="C1463"/>
    </row>
    <row r="1464" spans="2:3" x14ac:dyDescent="0.25">
      <c r="B1464"/>
      <c r="C1464"/>
    </row>
    <row r="1465" spans="2:3" x14ac:dyDescent="0.25">
      <c r="B1465"/>
      <c r="C1465"/>
    </row>
    <row r="1466" spans="2:3" x14ac:dyDescent="0.25">
      <c r="B1466"/>
      <c r="C1466"/>
    </row>
    <row r="1467" spans="2:3" x14ac:dyDescent="0.25">
      <c r="B1467"/>
      <c r="C1467"/>
    </row>
    <row r="1468" spans="2:3" x14ac:dyDescent="0.25">
      <c r="B1468"/>
      <c r="C1468"/>
    </row>
    <row r="1469" spans="2:3" x14ac:dyDescent="0.25">
      <c r="B1469"/>
      <c r="C1469"/>
    </row>
    <row r="1470" spans="2:3" x14ac:dyDescent="0.25">
      <c r="B1470"/>
      <c r="C1470"/>
    </row>
    <row r="1471" spans="2:3" x14ac:dyDescent="0.25">
      <c r="B1471"/>
      <c r="C1471"/>
    </row>
    <row r="1472" spans="2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2:3" x14ac:dyDescent="0.25">
      <c r="B1825"/>
      <c r="C1825"/>
    </row>
    <row r="1826" spans="2:3" x14ac:dyDescent="0.25">
      <c r="B1826"/>
      <c r="C1826"/>
    </row>
    <row r="1827" spans="2:3" x14ac:dyDescent="0.25">
      <c r="B1827"/>
      <c r="C1827"/>
    </row>
    <row r="1828" spans="2:3" x14ac:dyDescent="0.25">
      <c r="B1828"/>
      <c r="C1828"/>
    </row>
    <row r="1829" spans="2:3" x14ac:dyDescent="0.25">
      <c r="B1829"/>
      <c r="C1829"/>
    </row>
    <row r="1830" spans="2:3" x14ac:dyDescent="0.25">
      <c r="B1830"/>
      <c r="C1830"/>
    </row>
    <row r="1831" spans="2:3" x14ac:dyDescent="0.25">
      <c r="B1831"/>
      <c r="C1831"/>
    </row>
    <row r="1832" spans="2:3" x14ac:dyDescent="0.25">
      <c r="B1832"/>
      <c r="C1832"/>
    </row>
    <row r="1833" spans="2:3" x14ac:dyDescent="0.25">
      <c r="B1833"/>
      <c r="C1833"/>
    </row>
    <row r="1834" spans="2:3" x14ac:dyDescent="0.25">
      <c r="B1834"/>
      <c r="C1834"/>
    </row>
    <row r="1835" spans="2:3" x14ac:dyDescent="0.25">
      <c r="B1835"/>
      <c r="C1835"/>
    </row>
    <row r="1836" spans="2:3" x14ac:dyDescent="0.25">
      <c r="B1836"/>
      <c r="C1836"/>
    </row>
    <row r="1837" spans="2:3" x14ac:dyDescent="0.25">
      <c r="B1837"/>
      <c r="C1837"/>
    </row>
    <row r="1838" spans="2:3" x14ac:dyDescent="0.25">
      <c r="B1838"/>
      <c r="C1838"/>
    </row>
    <row r="1839" spans="2:3" x14ac:dyDescent="0.25">
      <c r="B1839"/>
      <c r="C1839"/>
    </row>
    <row r="1840" spans="2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2:3" x14ac:dyDescent="0.25">
      <c r="B2193"/>
      <c r="C2193"/>
    </row>
    <row r="2194" spans="2:3" x14ac:dyDescent="0.25">
      <c r="B2194"/>
      <c r="C2194"/>
    </row>
    <row r="2195" spans="2:3" x14ac:dyDescent="0.25">
      <c r="B2195"/>
      <c r="C2195"/>
    </row>
    <row r="2196" spans="2:3" x14ac:dyDescent="0.25">
      <c r="B2196"/>
      <c r="C2196"/>
    </row>
    <row r="2197" spans="2:3" x14ac:dyDescent="0.25">
      <c r="B2197"/>
      <c r="C2197"/>
    </row>
    <row r="2198" spans="2:3" x14ac:dyDescent="0.25">
      <c r="B2198"/>
      <c r="C2198"/>
    </row>
    <row r="2199" spans="2:3" x14ac:dyDescent="0.25">
      <c r="B2199"/>
      <c r="C2199"/>
    </row>
    <row r="2200" spans="2:3" x14ac:dyDescent="0.25">
      <c r="B2200"/>
      <c r="C2200"/>
    </row>
    <row r="2201" spans="2:3" x14ac:dyDescent="0.25">
      <c r="B2201"/>
      <c r="C2201"/>
    </row>
    <row r="2202" spans="2:3" x14ac:dyDescent="0.25">
      <c r="B2202"/>
      <c r="C2202"/>
    </row>
    <row r="2203" spans="2:3" x14ac:dyDescent="0.25">
      <c r="B2203"/>
      <c r="C2203"/>
    </row>
    <row r="2204" spans="2:3" x14ac:dyDescent="0.25">
      <c r="B2204"/>
      <c r="C2204"/>
    </row>
    <row r="2205" spans="2:3" x14ac:dyDescent="0.25">
      <c r="B2205"/>
      <c r="C2205"/>
    </row>
    <row r="2206" spans="2:3" x14ac:dyDescent="0.25">
      <c r="B2206"/>
      <c r="C2206"/>
    </row>
    <row r="2207" spans="2:3" x14ac:dyDescent="0.25">
      <c r="B2207"/>
      <c r="C2207"/>
    </row>
    <row r="2208" spans="2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2:3" x14ac:dyDescent="0.25">
      <c r="B2561"/>
      <c r="C2561"/>
    </row>
    <row r="2562" spans="2:3" x14ac:dyDescent="0.25">
      <c r="B2562"/>
      <c r="C2562"/>
    </row>
    <row r="2563" spans="2:3" x14ac:dyDescent="0.25">
      <c r="B2563"/>
      <c r="C2563"/>
    </row>
    <row r="2564" spans="2:3" x14ac:dyDescent="0.25">
      <c r="B2564"/>
      <c r="C2564"/>
    </row>
    <row r="2565" spans="2:3" x14ac:dyDescent="0.25">
      <c r="B2565"/>
      <c r="C2565"/>
    </row>
    <row r="2566" spans="2:3" x14ac:dyDescent="0.25">
      <c r="B2566"/>
      <c r="C2566"/>
    </row>
    <row r="2567" spans="2:3" x14ac:dyDescent="0.25">
      <c r="B2567"/>
      <c r="C2567"/>
    </row>
    <row r="2568" spans="2:3" x14ac:dyDescent="0.25">
      <c r="B2568"/>
      <c r="C2568"/>
    </row>
    <row r="2569" spans="2:3" x14ac:dyDescent="0.25">
      <c r="B2569"/>
      <c r="C2569"/>
    </row>
    <row r="2570" spans="2:3" x14ac:dyDescent="0.25">
      <c r="B2570"/>
      <c r="C2570"/>
    </row>
    <row r="2571" spans="2:3" x14ac:dyDescent="0.25">
      <c r="B2571"/>
      <c r="C2571"/>
    </row>
    <row r="2572" spans="2:3" x14ac:dyDescent="0.25">
      <c r="B2572"/>
      <c r="C2572"/>
    </row>
    <row r="2573" spans="2:3" x14ac:dyDescent="0.25">
      <c r="B2573"/>
      <c r="C2573"/>
    </row>
    <row r="2574" spans="2:3" x14ac:dyDescent="0.25">
      <c r="B2574"/>
      <c r="C2574"/>
    </row>
    <row r="2575" spans="2:3" x14ac:dyDescent="0.25">
      <c r="B2575"/>
      <c r="C2575"/>
    </row>
    <row r="2576" spans="2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2:3" x14ac:dyDescent="0.25">
      <c r="B2929"/>
      <c r="C2929"/>
    </row>
    <row r="2930" spans="2:3" x14ac:dyDescent="0.25">
      <c r="B2930"/>
      <c r="C2930"/>
    </row>
    <row r="2931" spans="2:3" x14ac:dyDescent="0.25">
      <c r="B2931"/>
      <c r="C2931"/>
    </row>
    <row r="2932" spans="2:3" x14ac:dyDescent="0.25">
      <c r="B2932"/>
      <c r="C2932"/>
    </row>
    <row r="2933" spans="2:3" x14ac:dyDescent="0.25">
      <c r="B2933"/>
      <c r="C2933"/>
    </row>
    <row r="2934" spans="2:3" x14ac:dyDescent="0.25">
      <c r="B2934"/>
      <c r="C2934"/>
    </row>
    <row r="2935" spans="2:3" x14ac:dyDescent="0.25">
      <c r="B2935"/>
      <c r="C2935"/>
    </row>
    <row r="2936" spans="2:3" x14ac:dyDescent="0.25">
      <c r="B2936"/>
      <c r="C2936"/>
    </row>
    <row r="2937" spans="2:3" x14ac:dyDescent="0.25">
      <c r="B2937"/>
      <c r="C2937"/>
    </row>
    <row r="2938" spans="2:3" x14ac:dyDescent="0.25">
      <c r="B2938"/>
      <c r="C2938"/>
    </row>
    <row r="2939" spans="2:3" x14ac:dyDescent="0.25">
      <c r="B2939"/>
      <c r="C2939"/>
    </row>
    <row r="2940" spans="2:3" x14ac:dyDescent="0.25">
      <c r="B2940"/>
      <c r="C2940"/>
    </row>
    <row r="2941" spans="2:3" x14ac:dyDescent="0.25">
      <c r="B2941"/>
      <c r="C2941"/>
    </row>
    <row r="2942" spans="2:3" x14ac:dyDescent="0.25">
      <c r="B2942"/>
      <c r="C2942"/>
    </row>
    <row r="2943" spans="2:3" x14ac:dyDescent="0.25">
      <c r="B2943"/>
      <c r="C2943"/>
    </row>
    <row r="2944" spans="2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2:3" x14ac:dyDescent="0.25">
      <c r="B3297"/>
      <c r="C3297"/>
    </row>
    <row r="3298" spans="2:3" x14ac:dyDescent="0.25">
      <c r="B3298"/>
      <c r="C3298"/>
    </row>
    <row r="3299" spans="2:3" x14ac:dyDescent="0.25">
      <c r="B3299"/>
      <c r="C3299"/>
    </row>
    <row r="3300" spans="2:3" x14ac:dyDescent="0.25">
      <c r="B3300"/>
      <c r="C3300"/>
    </row>
    <row r="3301" spans="2:3" x14ac:dyDescent="0.25">
      <c r="B3301"/>
      <c r="C3301"/>
    </row>
    <row r="3302" spans="2:3" x14ac:dyDescent="0.25">
      <c r="B3302"/>
      <c r="C3302"/>
    </row>
    <row r="3303" spans="2:3" x14ac:dyDescent="0.25">
      <c r="B3303"/>
      <c r="C3303"/>
    </row>
    <row r="3304" spans="2:3" x14ac:dyDescent="0.25">
      <c r="B3304"/>
      <c r="C3304"/>
    </row>
    <row r="3305" spans="2:3" x14ac:dyDescent="0.25">
      <c r="B3305"/>
      <c r="C3305"/>
    </row>
    <row r="3306" spans="2:3" x14ac:dyDescent="0.25">
      <c r="B3306"/>
      <c r="C3306"/>
    </row>
    <row r="3307" spans="2:3" x14ac:dyDescent="0.25">
      <c r="B3307"/>
      <c r="C3307"/>
    </row>
    <row r="3308" spans="2:3" x14ac:dyDescent="0.25">
      <c r="B3308"/>
      <c r="C3308"/>
    </row>
    <row r="3309" spans="2:3" x14ac:dyDescent="0.25">
      <c r="B3309"/>
      <c r="C3309"/>
    </row>
    <row r="3310" spans="2:3" x14ac:dyDescent="0.25">
      <c r="B3310"/>
      <c r="C3310"/>
    </row>
    <row r="3311" spans="2:3" x14ac:dyDescent="0.25">
      <c r="B3311"/>
      <c r="C3311"/>
    </row>
    <row r="3312" spans="2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3"/>
  <sheetViews>
    <sheetView workbookViewId="0">
      <selection activeCell="D1" sqref="D1"/>
    </sheetView>
  </sheetViews>
  <sheetFormatPr baseColWidth="10" defaultRowHeight="15" x14ac:dyDescent="0.25"/>
  <cols>
    <col min="1" max="1" width="17.5703125" customWidth="1"/>
    <col min="2" max="2" width="17.28515625" style="6" customWidth="1"/>
    <col min="3" max="3" width="17" style="7" bestFit="1" customWidth="1"/>
  </cols>
  <sheetData>
    <row r="1" spans="1:4" x14ac:dyDescent="0.25">
      <c r="B1"/>
      <c r="D1" t="s">
        <v>22</v>
      </c>
    </row>
    <row r="2" spans="1:4" x14ac:dyDescent="0.25">
      <c r="A2" s="2" t="s">
        <v>8</v>
      </c>
      <c r="B2" t="s">
        <v>18</v>
      </c>
    </row>
    <row r="4" spans="1:4" x14ac:dyDescent="0.25">
      <c r="A4" s="2" t="s">
        <v>2</v>
      </c>
      <c r="B4" s="6" t="s">
        <v>20</v>
      </c>
      <c r="C4"/>
    </row>
    <row r="5" spans="1:4" x14ac:dyDescent="0.25">
      <c r="A5" s="3" t="s">
        <v>5</v>
      </c>
      <c r="B5" s="7"/>
      <c r="C5"/>
    </row>
    <row r="6" spans="1:4" x14ac:dyDescent="0.25">
      <c r="A6" s="5" t="s">
        <v>3</v>
      </c>
      <c r="B6" s="7"/>
      <c r="C6"/>
    </row>
    <row r="7" spans="1:4" x14ac:dyDescent="0.25">
      <c r="A7" s="3" t="s">
        <v>6</v>
      </c>
      <c r="B7" s="7"/>
      <c r="C7"/>
    </row>
    <row r="8" spans="1:4" x14ac:dyDescent="0.25">
      <c r="A8" s="5" t="s">
        <v>7</v>
      </c>
      <c r="B8" s="7">
        <v>3</v>
      </c>
      <c r="C8"/>
    </row>
    <row r="9" spans="1:4" x14ac:dyDescent="0.25">
      <c r="A9" s="3" t="s">
        <v>4</v>
      </c>
      <c r="B9" s="7">
        <v>3</v>
      </c>
      <c r="C9"/>
    </row>
    <row r="10" spans="1:4" x14ac:dyDescent="0.25">
      <c r="B10"/>
      <c r="C10"/>
    </row>
    <row r="11" spans="1:4" x14ac:dyDescent="0.25">
      <c r="B11"/>
      <c r="C11"/>
    </row>
    <row r="12" spans="1:4" x14ac:dyDescent="0.25">
      <c r="B12"/>
      <c r="C12"/>
    </row>
    <row r="13" spans="1:4" x14ac:dyDescent="0.25">
      <c r="B13"/>
      <c r="C13"/>
    </row>
    <row r="14" spans="1:4" x14ac:dyDescent="0.25">
      <c r="B14"/>
      <c r="C14"/>
    </row>
    <row r="15" spans="1:4" x14ac:dyDescent="0.25">
      <c r="B15"/>
      <c r="C15"/>
    </row>
    <row r="16" spans="1: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2:3" x14ac:dyDescent="0.25">
      <c r="B737"/>
      <c r="C737"/>
    </row>
    <row r="738" spans="2:3" x14ac:dyDescent="0.25">
      <c r="B738"/>
      <c r="C738"/>
    </row>
    <row r="739" spans="2:3" x14ac:dyDescent="0.25">
      <c r="B739"/>
      <c r="C739"/>
    </row>
    <row r="740" spans="2:3" x14ac:dyDescent="0.25">
      <c r="B740"/>
      <c r="C740"/>
    </row>
    <row r="741" spans="2:3" x14ac:dyDescent="0.25">
      <c r="B741"/>
      <c r="C741"/>
    </row>
    <row r="742" spans="2:3" x14ac:dyDescent="0.25">
      <c r="B742"/>
      <c r="C742"/>
    </row>
    <row r="743" spans="2:3" x14ac:dyDescent="0.25">
      <c r="B743"/>
      <c r="C743"/>
    </row>
    <row r="744" spans="2:3" x14ac:dyDescent="0.25">
      <c r="B744"/>
      <c r="C744"/>
    </row>
    <row r="745" spans="2:3" x14ac:dyDescent="0.25">
      <c r="B745"/>
      <c r="C745"/>
    </row>
    <row r="746" spans="2:3" x14ac:dyDescent="0.25">
      <c r="B746"/>
      <c r="C746"/>
    </row>
    <row r="747" spans="2:3" x14ac:dyDescent="0.25">
      <c r="B747"/>
      <c r="C747"/>
    </row>
    <row r="748" spans="2:3" x14ac:dyDescent="0.25">
      <c r="B748"/>
      <c r="C748"/>
    </row>
    <row r="749" spans="2:3" x14ac:dyDescent="0.25">
      <c r="B749"/>
      <c r="C749"/>
    </row>
    <row r="750" spans="2:3" x14ac:dyDescent="0.25">
      <c r="B750"/>
      <c r="C750"/>
    </row>
    <row r="751" spans="2:3" x14ac:dyDescent="0.25">
      <c r="B751"/>
      <c r="C751"/>
    </row>
    <row r="752" spans="2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2:3" x14ac:dyDescent="0.25">
      <c r="B1105"/>
      <c r="C1105"/>
    </row>
    <row r="1106" spans="2:3" x14ac:dyDescent="0.25">
      <c r="B1106"/>
      <c r="C1106"/>
    </row>
    <row r="1107" spans="2:3" x14ac:dyDescent="0.25">
      <c r="B1107"/>
      <c r="C1107"/>
    </row>
    <row r="1108" spans="2:3" x14ac:dyDescent="0.25">
      <c r="B1108"/>
      <c r="C1108"/>
    </row>
    <row r="1109" spans="2:3" x14ac:dyDescent="0.25">
      <c r="B1109"/>
      <c r="C1109"/>
    </row>
    <row r="1110" spans="2:3" x14ac:dyDescent="0.25">
      <c r="B1110"/>
      <c r="C1110"/>
    </row>
    <row r="1111" spans="2:3" x14ac:dyDescent="0.25">
      <c r="B1111"/>
      <c r="C1111"/>
    </row>
    <row r="1112" spans="2:3" x14ac:dyDescent="0.25">
      <c r="B1112"/>
      <c r="C1112"/>
    </row>
    <row r="1113" spans="2:3" x14ac:dyDescent="0.25">
      <c r="B1113"/>
      <c r="C1113"/>
    </row>
    <row r="1114" spans="2:3" x14ac:dyDescent="0.25">
      <c r="B1114"/>
      <c r="C1114"/>
    </row>
    <row r="1115" spans="2:3" x14ac:dyDescent="0.25">
      <c r="B1115"/>
      <c r="C1115"/>
    </row>
    <row r="1116" spans="2:3" x14ac:dyDescent="0.25">
      <c r="B1116"/>
      <c r="C1116"/>
    </row>
    <row r="1117" spans="2:3" x14ac:dyDescent="0.25">
      <c r="B1117"/>
      <c r="C1117"/>
    </row>
    <row r="1118" spans="2:3" x14ac:dyDescent="0.25">
      <c r="B1118"/>
      <c r="C1118"/>
    </row>
    <row r="1119" spans="2:3" x14ac:dyDescent="0.25">
      <c r="B1119"/>
      <c r="C1119"/>
    </row>
    <row r="1120" spans="2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2:3" x14ac:dyDescent="0.25">
      <c r="B1457"/>
      <c r="C1457"/>
    </row>
    <row r="1458" spans="2:3" x14ac:dyDescent="0.25">
      <c r="B1458"/>
      <c r="C1458"/>
    </row>
    <row r="1459" spans="2:3" x14ac:dyDescent="0.25">
      <c r="B1459"/>
      <c r="C1459"/>
    </row>
    <row r="1460" spans="2:3" x14ac:dyDescent="0.25">
      <c r="B1460"/>
      <c r="C1460"/>
    </row>
    <row r="1461" spans="2:3" x14ac:dyDescent="0.25">
      <c r="B1461"/>
      <c r="C1461"/>
    </row>
    <row r="1462" spans="2:3" x14ac:dyDescent="0.25">
      <c r="B1462"/>
      <c r="C1462"/>
    </row>
    <row r="1463" spans="2:3" x14ac:dyDescent="0.25">
      <c r="B1463"/>
      <c r="C1463"/>
    </row>
    <row r="1464" spans="2:3" x14ac:dyDescent="0.25">
      <c r="B1464"/>
      <c r="C1464"/>
    </row>
    <row r="1465" spans="2:3" x14ac:dyDescent="0.25">
      <c r="B1465"/>
      <c r="C1465"/>
    </row>
    <row r="1466" spans="2:3" x14ac:dyDescent="0.25">
      <c r="B1466"/>
      <c r="C1466"/>
    </row>
    <row r="1467" spans="2:3" x14ac:dyDescent="0.25">
      <c r="B1467"/>
      <c r="C1467"/>
    </row>
    <row r="1468" spans="2:3" x14ac:dyDescent="0.25">
      <c r="B1468"/>
      <c r="C1468"/>
    </row>
    <row r="1469" spans="2:3" x14ac:dyDescent="0.25">
      <c r="B1469"/>
      <c r="C1469"/>
    </row>
    <row r="1470" spans="2:3" x14ac:dyDescent="0.25">
      <c r="B1470"/>
      <c r="C1470"/>
    </row>
    <row r="1471" spans="2:3" x14ac:dyDescent="0.25">
      <c r="B1471"/>
      <c r="C1471"/>
    </row>
    <row r="1472" spans="2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2:3" x14ac:dyDescent="0.25">
      <c r="B1825"/>
      <c r="C1825"/>
    </row>
    <row r="1826" spans="2:3" x14ac:dyDescent="0.25">
      <c r="B1826"/>
      <c r="C1826"/>
    </row>
    <row r="1827" spans="2:3" x14ac:dyDescent="0.25">
      <c r="B1827"/>
      <c r="C1827"/>
    </row>
    <row r="1828" spans="2:3" x14ac:dyDescent="0.25">
      <c r="B1828"/>
      <c r="C1828"/>
    </row>
    <row r="1829" spans="2:3" x14ac:dyDescent="0.25">
      <c r="B1829"/>
      <c r="C1829"/>
    </row>
    <row r="1830" spans="2:3" x14ac:dyDescent="0.25">
      <c r="B1830"/>
      <c r="C1830"/>
    </row>
    <row r="1831" spans="2:3" x14ac:dyDescent="0.25">
      <c r="B1831"/>
      <c r="C1831"/>
    </row>
    <row r="1832" spans="2:3" x14ac:dyDescent="0.25">
      <c r="B1832"/>
      <c r="C1832"/>
    </row>
    <row r="1833" spans="2:3" x14ac:dyDescent="0.25">
      <c r="B1833"/>
      <c r="C1833"/>
    </row>
    <row r="1834" spans="2:3" x14ac:dyDescent="0.25">
      <c r="B1834"/>
      <c r="C1834"/>
    </row>
    <row r="1835" spans="2:3" x14ac:dyDescent="0.25">
      <c r="B1835"/>
      <c r="C1835"/>
    </row>
    <row r="1836" spans="2:3" x14ac:dyDescent="0.25">
      <c r="B1836"/>
      <c r="C1836"/>
    </row>
    <row r="1837" spans="2:3" x14ac:dyDescent="0.25">
      <c r="B1837"/>
      <c r="C1837"/>
    </row>
    <row r="1838" spans="2:3" x14ac:dyDescent="0.25">
      <c r="B1838"/>
      <c r="C1838"/>
    </row>
    <row r="1839" spans="2:3" x14ac:dyDescent="0.25">
      <c r="B1839"/>
      <c r="C1839"/>
    </row>
    <row r="1840" spans="2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2:3" x14ac:dyDescent="0.25">
      <c r="B2193"/>
      <c r="C2193"/>
    </row>
    <row r="2194" spans="2:3" x14ac:dyDescent="0.25">
      <c r="B2194"/>
      <c r="C2194"/>
    </row>
    <row r="2195" spans="2:3" x14ac:dyDescent="0.25">
      <c r="B2195"/>
      <c r="C2195"/>
    </row>
    <row r="2196" spans="2:3" x14ac:dyDescent="0.25">
      <c r="B2196"/>
      <c r="C2196"/>
    </row>
    <row r="2197" spans="2:3" x14ac:dyDescent="0.25">
      <c r="B2197"/>
      <c r="C2197"/>
    </row>
    <row r="2198" spans="2:3" x14ac:dyDescent="0.25">
      <c r="B2198"/>
      <c r="C2198"/>
    </row>
    <row r="2199" spans="2:3" x14ac:dyDescent="0.25">
      <c r="B2199"/>
      <c r="C2199"/>
    </row>
    <row r="2200" spans="2:3" x14ac:dyDescent="0.25">
      <c r="B2200"/>
      <c r="C2200"/>
    </row>
    <row r="2201" spans="2:3" x14ac:dyDescent="0.25">
      <c r="B2201"/>
      <c r="C2201"/>
    </row>
    <row r="2202" spans="2:3" x14ac:dyDescent="0.25">
      <c r="B2202"/>
      <c r="C2202"/>
    </row>
    <row r="2203" spans="2:3" x14ac:dyDescent="0.25">
      <c r="B2203"/>
      <c r="C2203"/>
    </row>
    <row r="2204" spans="2:3" x14ac:dyDescent="0.25">
      <c r="B2204"/>
      <c r="C2204"/>
    </row>
    <row r="2205" spans="2:3" x14ac:dyDescent="0.25">
      <c r="B2205"/>
      <c r="C2205"/>
    </row>
    <row r="2206" spans="2:3" x14ac:dyDescent="0.25">
      <c r="B2206"/>
      <c r="C2206"/>
    </row>
    <row r="2207" spans="2:3" x14ac:dyDescent="0.25">
      <c r="B2207"/>
      <c r="C2207"/>
    </row>
    <row r="2208" spans="2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2:3" x14ac:dyDescent="0.25">
      <c r="B2561"/>
      <c r="C2561"/>
    </row>
    <row r="2562" spans="2:3" x14ac:dyDescent="0.25">
      <c r="B2562"/>
      <c r="C2562"/>
    </row>
    <row r="2563" spans="2:3" x14ac:dyDescent="0.25">
      <c r="B2563"/>
      <c r="C2563"/>
    </row>
    <row r="2564" spans="2:3" x14ac:dyDescent="0.25">
      <c r="B2564"/>
      <c r="C2564"/>
    </row>
    <row r="2565" spans="2:3" x14ac:dyDescent="0.25">
      <c r="B2565"/>
      <c r="C2565"/>
    </row>
    <row r="2566" spans="2:3" x14ac:dyDescent="0.25">
      <c r="B2566"/>
      <c r="C2566"/>
    </row>
    <row r="2567" spans="2:3" x14ac:dyDescent="0.25">
      <c r="B2567"/>
      <c r="C2567"/>
    </row>
    <row r="2568" spans="2:3" x14ac:dyDescent="0.25">
      <c r="B2568"/>
      <c r="C2568"/>
    </row>
    <row r="2569" spans="2:3" x14ac:dyDescent="0.25">
      <c r="B2569"/>
      <c r="C2569"/>
    </row>
    <row r="2570" spans="2:3" x14ac:dyDescent="0.25">
      <c r="B2570"/>
      <c r="C2570"/>
    </row>
    <row r="2571" spans="2:3" x14ac:dyDescent="0.25">
      <c r="B2571"/>
      <c r="C2571"/>
    </row>
    <row r="2572" spans="2:3" x14ac:dyDescent="0.25">
      <c r="B2572"/>
      <c r="C2572"/>
    </row>
    <row r="2573" spans="2:3" x14ac:dyDescent="0.25">
      <c r="B2573"/>
      <c r="C2573"/>
    </row>
    <row r="2574" spans="2:3" x14ac:dyDescent="0.25">
      <c r="B2574"/>
      <c r="C2574"/>
    </row>
    <row r="2575" spans="2:3" x14ac:dyDescent="0.25">
      <c r="B2575"/>
      <c r="C2575"/>
    </row>
    <row r="2576" spans="2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2:3" x14ac:dyDescent="0.25">
      <c r="B2929"/>
      <c r="C2929"/>
    </row>
    <row r="2930" spans="2:3" x14ac:dyDescent="0.25">
      <c r="B2930"/>
      <c r="C2930"/>
    </row>
    <row r="2931" spans="2:3" x14ac:dyDescent="0.25">
      <c r="B2931"/>
      <c r="C2931"/>
    </row>
    <row r="2932" spans="2:3" x14ac:dyDescent="0.25">
      <c r="B2932"/>
      <c r="C2932"/>
    </row>
    <row r="2933" spans="2:3" x14ac:dyDescent="0.25">
      <c r="B2933"/>
      <c r="C2933"/>
    </row>
    <row r="2934" spans="2:3" x14ac:dyDescent="0.25">
      <c r="B2934"/>
      <c r="C2934"/>
    </row>
    <row r="2935" spans="2:3" x14ac:dyDescent="0.25">
      <c r="B2935"/>
      <c r="C2935"/>
    </row>
    <row r="2936" spans="2:3" x14ac:dyDescent="0.25">
      <c r="B2936"/>
      <c r="C2936"/>
    </row>
    <row r="2937" spans="2:3" x14ac:dyDescent="0.25">
      <c r="B2937"/>
      <c r="C2937"/>
    </row>
    <row r="2938" spans="2:3" x14ac:dyDescent="0.25">
      <c r="B2938"/>
      <c r="C2938"/>
    </row>
    <row r="2939" spans="2:3" x14ac:dyDescent="0.25">
      <c r="B2939"/>
      <c r="C2939"/>
    </row>
    <row r="2940" spans="2:3" x14ac:dyDescent="0.25">
      <c r="B2940"/>
      <c r="C2940"/>
    </row>
    <row r="2941" spans="2:3" x14ac:dyDescent="0.25">
      <c r="B2941"/>
      <c r="C2941"/>
    </row>
    <row r="2942" spans="2:3" x14ac:dyDescent="0.25">
      <c r="B2942"/>
      <c r="C2942"/>
    </row>
    <row r="2943" spans="2:3" x14ac:dyDescent="0.25">
      <c r="B2943"/>
      <c r="C2943"/>
    </row>
    <row r="2944" spans="2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2:3" x14ac:dyDescent="0.25">
      <c r="B3297"/>
      <c r="C3297"/>
    </row>
    <row r="3298" spans="2:3" x14ac:dyDescent="0.25">
      <c r="B3298"/>
      <c r="C3298"/>
    </row>
    <row r="3299" spans="2:3" x14ac:dyDescent="0.25">
      <c r="B3299"/>
      <c r="C3299"/>
    </row>
    <row r="3300" spans="2:3" x14ac:dyDescent="0.25">
      <c r="B3300"/>
      <c r="C3300"/>
    </row>
    <row r="3301" spans="2:3" x14ac:dyDescent="0.25">
      <c r="B3301"/>
      <c r="C3301"/>
    </row>
    <row r="3302" spans="2:3" x14ac:dyDescent="0.25">
      <c r="B3302"/>
      <c r="C3302"/>
    </row>
    <row r="3303" spans="2:3" x14ac:dyDescent="0.25">
      <c r="B3303"/>
      <c r="C3303"/>
    </row>
    <row r="3304" spans="2:3" x14ac:dyDescent="0.25">
      <c r="B3304"/>
      <c r="C3304"/>
    </row>
    <row r="3305" spans="2:3" x14ac:dyDescent="0.25">
      <c r="B3305"/>
      <c r="C3305"/>
    </row>
    <row r="3306" spans="2:3" x14ac:dyDescent="0.25">
      <c r="B3306"/>
      <c r="C3306"/>
    </row>
    <row r="3307" spans="2:3" x14ac:dyDescent="0.25">
      <c r="B3307"/>
      <c r="C3307"/>
    </row>
    <row r="3308" spans="2:3" x14ac:dyDescent="0.25">
      <c r="B3308"/>
      <c r="C3308"/>
    </row>
    <row r="3309" spans="2:3" x14ac:dyDescent="0.25">
      <c r="B3309"/>
      <c r="C3309"/>
    </row>
    <row r="3310" spans="2:3" x14ac:dyDescent="0.25">
      <c r="B3310"/>
      <c r="C3310"/>
    </row>
    <row r="3311" spans="2:3" x14ac:dyDescent="0.25">
      <c r="B3311"/>
      <c r="C3311"/>
    </row>
    <row r="3312" spans="2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" sqref="D2"/>
    </sheetView>
  </sheetViews>
  <sheetFormatPr baseColWidth="10" defaultRowHeight="15" x14ac:dyDescent="0.25"/>
  <cols>
    <col min="1" max="1" width="17.5703125" customWidth="1"/>
    <col min="2" max="2" width="17.28515625" customWidth="1"/>
  </cols>
  <sheetData>
    <row r="1" spans="1:4" x14ac:dyDescent="0.25">
      <c r="D1" t="s">
        <v>26</v>
      </c>
    </row>
    <row r="5" spans="1:4" x14ac:dyDescent="0.25">
      <c r="A5" s="2" t="s">
        <v>9</v>
      </c>
      <c r="B5" t="s">
        <v>18</v>
      </c>
    </row>
    <row r="7" spans="1:4" x14ac:dyDescent="0.25">
      <c r="A7" s="2" t="s">
        <v>2</v>
      </c>
      <c r="B7" t="s">
        <v>20</v>
      </c>
    </row>
    <row r="8" spans="1:4" x14ac:dyDescent="0.25">
      <c r="A8" s="3" t="s">
        <v>1</v>
      </c>
      <c r="B8" s="7">
        <v>2</v>
      </c>
    </row>
    <row r="9" spans="1:4" x14ac:dyDescent="0.25">
      <c r="A9" s="3" t="s">
        <v>0</v>
      </c>
      <c r="B9" s="7">
        <v>1</v>
      </c>
    </row>
    <row r="10" spans="1:4" x14ac:dyDescent="0.25">
      <c r="A10" s="3" t="s">
        <v>3</v>
      </c>
      <c r="B10" s="7"/>
    </row>
    <row r="11" spans="1:4" x14ac:dyDescent="0.25">
      <c r="A11" s="3" t="s">
        <v>4</v>
      </c>
      <c r="B11" s="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8" sqref="C8"/>
    </sheetView>
  </sheetViews>
  <sheetFormatPr baseColWidth="10" defaultRowHeight="15" x14ac:dyDescent="0.25"/>
  <cols>
    <col min="1" max="1" width="20.140625" customWidth="1"/>
    <col min="2" max="2" width="12.140625" bestFit="1" customWidth="1"/>
    <col min="3" max="3" width="14.5703125" customWidth="1"/>
  </cols>
  <sheetData>
    <row r="1" spans="1:4" x14ac:dyDescent="0.25">
      <c r="D1" t="s">
        <v>27</v>
      </c>
    </row>
    <row r="4" spans="1:4" x14ac:dyDescent="0.25">
      <c r="A4" s="2" t="s">
        <v>2</v>
      </c>
      <c r="B4" t="s">
        <v>17</v>
      </c>
      <c r="C4" t="s">
        <v>16</v>
      </c>
    </row>
    <row r="5" spans="1:4" x14ac:dyDescent="0.25">
      <c r="A5" s="3" t="s">
        <v>5</v>
      </c>
      <c r="B5" s="4"/>
      <c r="C5" s="4"/>
    </row>
    <row r="6" spans="1:4" x14ac:dyDescent="0.25">
      <c r="A6" s="5" t="s">
        <v>3</v>
      </c>
      <c r="B6" s="4"/>
      <c r="C6" s="4"/>
    </row>
    <row r="7" spans="1:4" x14ac:dyDescent="0.25">
      <c r="A7" s="3" t="s">
        <v>6</v>
      </c>
      <c r="B7" s="4"/>
      <c r="C7" s="4"/>
    </row>
    <row r="8" spans="1:4" x14ac:dyDescent="0.25">
      <c r="A8" s="5" t="s">
        <v>1</v>
      </c>
      <c r="B8" s="4">
        <v>1</v>
      </c>
      <c r="C8" s="4">
        <v>3.5</v>
      </c>
    </row>
    <row r="9" spans="1:4" x14ac:dyDescent="0.25">
      <c r="A9" s="5" t="s">
        <v>0</v>
      </c>
      <c r="B9" s="4">
        <v>1</v>
      </c>
      <c r="C9" s="4">
        <v>0.48</v>
      </c>
    </row>
    <row r="10" spans="1:4" x14ac:dyDescent="0.25">
      <c r="A10" s="3" t="s">
        <v>4</v>
      </c>
      <c r="B10" s="4">
        <v>2</v>
      </c>
      <c r="C10" s="4">
        <v>3.98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workbookViewId="0">
      <selection activeCell="D1" sqref="D1"/>
    </sheetView>
  </sheetViews>
  <sheetFormatPr baseColWidth="10" defaultRowHeight="15" x14ac:dyDescent="0.25"/>
  <cols>
    <col min="1" max="1" width="17.5703125" customWidth="1"/>
    <col min="2" max="2" width="13.42578125" customWidth="1"/>
  </cols>
  <sheetData>
    <row r="1" spans="1:4" x14ac:dyDescent="0.25">
      <c r="D1" t="s">
        <v>24</v>
      </c>
    </row>
    <row r="4" spans="1:4" x14ac:dyDescent="0.25">
      <c r="A4" s="2" t="s">
        <v>2</v>
      </c>
      <c r="B4" t="s">
        <v>19</v>
      </c>
    </row>
    <row r="5" spans="1:4" x14ac:dyDescent="0.25">
      <c r="A5" s="3" t="s">
        <v>0</v>
      </c>
      <c r="B5" s="1">
        <v>45094</v>
      </c>
    </row>
    <row r="6" spans="1:4" x14ac:dyDescent="0.25">
      <c r="A6" s="3" t="s">
        <v>1</v>
      </c>
      <c r="B6" s="1">
        <v>45093</v>
      </c>
    </row>
    <row r="7" spans="1:4" x14ac:dyDescent="0.25">
      <c r="A7" s="3" t="s">
        <v>3</v>
      </c>
      <c r="B7" s="1"/>
    </row>
    <row r="8" spans="1:4" x14ac:dyDescent="0.25">
      <c r="A8" s="3" t="s">
        <v>4</v>
      </c>
      <c r="B8" s="1">
        <v>45094</v>
      </c>
    </row>
  </sheetData>
  <pageMargins left="0.7" right="0.7" top="0.75" bottom="0.75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"/>
  <sheetViews>
    <sheetView workbookViewId="0">
      <selection activeCell="D1" sqref="D1"/>
    </sheetView>
  </sheetViews>
  <sheetFormatPr baseColWidth="10" defaultRowHeight="15" x14ac:dyDescent="0.25"/>
  <cols>
    <col min="1" max="1" width="17.5703125" customWidth="1"/>
    <col min="2" max="2" width="28.28515625" customWidth="1"/>
    <col min="3" max="3" width="18.7109375" bestFit="1" customWidth="1"/>
  </cols>
  <sheetData>
    <row r="1" spans="1:4" x14ac:dyDescent="0.25">
      <c r="D1" t="s">
        <v>25</v>
      </c>
    </row>
    <row r="4" spans="1:4" x14ac:dyDescent="0.25">
      <c r="A4" s="2" t="s">
        <v>8</v>
      </c>
      <c r="B4" t="s">
        <v>18</v>
      </c>
    </row>
    <row r="6" spans="1:4" x14ac:dyDescent="0.25">
      <c r="A6" s="2" t="s">
        <v>2</v>
      </c>
      <c r="B6" t="s">
        <v>15</v>
      </c>
    </row>
    <row r="7" spans="1:4" x14ac:dyDescent="0.25">
      <c r="A7" s="3" t="s">
        <v>5</v>
      </c>
      <c r="B7" s="4"/>
    </row>
    <row r="8" spans="1:4" x14ac:dyDescent="0.25">
      <c r="A8" s="5" t="s">
        <v>3</v>
      </c>
      <c r="B8" s="4"/>
    </row>
    <row r="9" spans="1:4" x14ac:dyDescent="0.25">
      <c r="A9" s="3" t="s">
        <v>6</v>
      </c>
      <c r="B9" s="4"/>
    </row>
    <row r="10" spans="1:4" x14ac:dyDescent="0.25">
      <c r="A10" s="5" t="s">
        <v>7</v>
      </c>
      <c r="B10" s="4">
        <v>1.115</v>
      </c>
    </row>
    <row r="11" spans="1:4" x14ac:dyDescent="0.25">
      <c r="A11" s="3" t="s">
        <v>4</v>
      </c>
      <c r="B11" s="4">
        <v>1.115</v>
      </c>
    </row>
  </sheetData>
  <pageMargins left="0.7" right="0.7" top="0.75" bottom="0.75" header="0.3" footer="0.3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L32" sqref="L32"/>
    </sheetView>
  </sheetViews>
  <sheetFormatPr baseColWidth="10" defaultRowHeight="15" x14ac:dyDescent="0.25"/>
  <cols>
    <col min="1" max="1" width="17.5703125" customWidth="1"/>
    <col min="2" max="2" width="17.28515625" customWidth="1"/>
  </cols>
  <sheetData>
    <row r="1" spans="1:6" x14ac:dyDescent="0.25">
      <c r="F1" t="s">
        <v>35</v>
      </c>
    </row>
    <row r="4" spans="1:6" x14ac:dyDescent="0.25">
      <c r="A4" s="2" t="s">
        <v>8</v>
      </c>
      <c r="B4" t="s">
        <v>18</v>
      </c>
    </row>
    <row r="6" spans="1:6" x14ac:dyDescent="0.25">
      <c r="A6" s="2" t="s">
        <v>2</v>
      </c>
      <c r="B6" t="s">
        <v>20</v>
      </c>
    </row>
    <row r="7" spans="1:6" x14ac:dyDescent="0.25">
      <c r="A7" s="3" t="s">
        <v>5</v>
      </c>
      <c r="B7" s="4"/>
    </row>
    <row r="8" spans="1:6" x14ac:dyDescent="0.25">
      <c r="A8" s="3" t="s">
        <v>6</v>
      </c>
      <c r="B8" s="4">
        <v>3</v>
      </c>
    </row>
    <row r="9" spans="1:6" x14ac:dyDescent="0.25">
      <c r="A9" s="3" t="s">
        <v>4</v>
      </c>
      <c r="B9" s="4">
        <v>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00"/>
  <sheetViews>
    <sheetView workbookViewId="0">
      <pane ySplit="7" topLeftCell="A8" activePane="bottomLeft" state="frozen"/>
      <selection pane="bottomLeft" activeCell="A8" sqref="A8"/>
    </sheetView>
  </sheetViews>
  <sheetFormatPr defaultRowHeight="15"/>
  <cols>
    <col min="1" max="1" width="42" customWidth="1"/>
    <col min="2" max="5" width="13" customWidth="1"/>
    <col min="6" max="6" width="8" customWidth="1"/>
    <col min="7" max="7" width="4" customWidth="1"/>
    <col min="8" max="11" width="12" customWidth="1"/>
  </cols>
  <sheetData>
    <row r="1">
      <c r="A1" s="9" t="inlineStr">
        <is>
          <t xml:space="preserve">Pareto del gasto: qué productos concentran el gasto</t>
        </is>
      </c>
    </row>
    <row r="2">
      <c r="A2" s="11" t="inlineStr">
        <is>
          <t xml:space="preserve">Productos ordenados de mayor a menor gasto. Clase A: productos que suman el primer 80 % del gasto; B: hasta el 95 %; C: el resto. Usa el filtro Años para verlo por año.</t>
        </is>
      </c>
    </row>
    <row r="5">
      <c r="A5" s="2" t="inlineStr">
        <is>
          <t xml:space="preserve">Años</t>
        </is>
      </c>
      <c r="B5" t="inlineStr">
        <is>
          <t xml:space="preserve">(Todas)</t>
        </is>
      </c>
    </row>
    <row r="7">
      <c r="A7" s="2" t="inlineStr">
        <is>
          <t xml:space="preserve">Etiquetas de fila</t>
        </is>
      </c>
      <c r="B7" t="inlineStr">
        <is>
          <t xml:space="preserve">Gasto</t>
        </is>
      </c>
      <c r="C7" t="inlineStr">
        <is>
          <t xml:space="preserve">% del gasto</t>
        </is>
      </c>
      <c r="D7" t="inlineStr">
        <is>
          <t xml:space="preserve">Nº compras</t>
        </is>
      </c>
      <c r="E7" s="10" t="inlineStr">
        <is>
          <t xml:space="preserve">% acumulado</t>
        </is>
      </c>
      <c r="F7" s="10" t="inlineStr">
        <is>
          <t xml:space="preserve">Clase</t>
        </is>
      </c>
      <c r="H7" s="10" t="inlineStr">
        <is>
          <t xml:space="preserve">Clase</t>
        </is>
      </c>
      <c r="I7" s="10" t="inlineStr">
        <is>
          <t xml:space="preserve">Productos</t>
        </is>
      </c>
      <c r="J7" s="10" t="inlineStr">
        <is>
          <t xml:space="preserve">% productos</t>
        </is>
      </c>
      <c r="K7" s="10" t="inlineStr">
        <is>
          <t xml:space="preserve">% gasto</t>
        </is>
      </c>
    </row>
    <row r="8">
      <c r="E8" s="12">
        <f>IF(OR(NOT(ISNUMBER($C8)),$A9=""),"",$C8+N($E7))</f>
      </c>
      <c r="F8" s="13">
        <f>IF(NOT(ISNUMBER($E8)),"",IF($E8-$C8&lt;0.8,"A",IF($E8-$C8&lt;0.95,"B","C")))</f>
      </c>
      <c r="H8" s="13" t="inlineStr">
        <is>
          <t xml:space="preserve">A</t>
        </is>
      </c>
      <c r="I8">
        <f>COUNTIF($F$8:$F$2000,H8)</f>
      </c>
      <c r="J8" s="12">
        <f>IF(SUM($I$8:$I$10)=0,0,I8/SUM($I$8:$I$10))</f>
      </c>
      <c r="K8" s="12">
        <f>SUMIF($F$8:$F$2000,H8,$C$8:$C$2000)</f>
      </c>
    </row>
    <row r="9">
      <c r="E9" s="12">
        <f>IF(OR(NOT(ISNUMBER($C9)),$A10=""),"",$C9+N($E8))</f>
      </c>
      <c r="F9" s="13">
        <f>IF(NOT(ISNUMBER($E9)),"",IF($E9-$C9&lt;0.8,"A",IF($E9-$C9&lt;0.95,"B","C")))</f>
      </c>
      <c r="H9" s="13" t="inlineStr">
        <is>
          <t xml:space="preserve">B</t>
        </is>
      </c>
      <c r="I9">
        <f>COUNTIF($F$8:$F$2000,H9)</f>
      </c>
      <c r="J9" s="12">
        <f>IF(SUM($I$8:$I$10)=0,0,I9/SUM($I$8:$I$10))</f>
      </c>
      <c r="K9" s="12">
        <f>SUMIF($F$8:$F$2000,H9,$C$8:$C$2000)</f>
      </c>
    </row>
    <row r="10">
      <c r="E10" s="12">
        <f>IF(OR(NOT(ISNUMBER($C10)),$A11=""),"",$C10+N($E9))</f>
      </c>
      <c r="F10" s="13">
        <f>IF(NOT(ISNUMBER($E10)),"",IF($E10-$C10&lt;0.8,"A",IF($E10-$C10&lt;0.95,"B","C")))</f>
      </c>
      <c r="H10" s="13" t="inlineStr">
        <is>
          <t xml:space="preserve">C</t>
        </is>
      </c>
      <c r="I10">
        <f>COUNTIF($F$8:$F$2000,H10)</f>
      </c>
      <c r="J10" s="12">
        <f>IF(SUM($I$8:$I$10)=0,0,I10/SUM($I$8:$I$10))</f>
      </c>
      <c r="K10" s="12">
        <f>SUMIF($F$8:$F$2000,H10,$C$8:$C$2000)</f>
      </c>
    </row>
    <row r="11">
      <c r="E11" s="12">
        <f>IF(OR(NOT(ISNUMBER($C11)),$A12=""),"",$C11+N($E10))</f>
      </c>
      <c r="F11" s="13">
        <f>IF(NOT(ISNUMBER($E11)),"",IF($E11-$C11&lt;0.8,"A",IF($E11-$C11&lt;0.95,"B","C")))</f>
      </c>
      <c r="H11" s="10" t="inlineStr">
        <is>
          <t xml:space="preserve">Total</t>
        </is>
      </c>
      <c r="I11" s="10">
        <f>SUM(I8:I10)</f>
      </c>
      <c r="J11" s="12">
        <f>SUM(J8:J10)</f>
      </c>
      <c r="K11" s="12">
        <f>SUM(K8:K10)</f>
      </c>
    </row>
    <row r="12">
      <c r="E12" s="12">
        <f>IF(OR(NOT(ISNUMBER($C12)),$A13=""),"",$C12+N($E11))</f>
      </c>
      <c r="F12" s="13">
        <f>IF(NOT(ISNUMBER($E12)),"",IF($E12-$C12&lt;0.8,"A",IF($E12-$C12&lt;0.95,"B","C")))</f>
      </c>
    </row>
    <row r="13">
      <c r="E13" s="12">
        <f>IF(OR(NOT(ISNUMBER($C13)),$A14=""),"",$C13+N($E12))</f>
      </c>
      <c r="F13" s="13">
        <f>IF(NOT(ISNUMBER($E13)),"",IF($E13-$C13&lt;0.8,"A",IF($E13-$C13&lt;0.95,"B","C")))</f>
      </c>
    </row>
    <row r="14">
      <c r="E14" s="12">
        <f>IF(OR(NOT(ISNUMBER($C14)),$A15=""),"",$C14+N($E13))</f>
      </c>
      <c r="F14" s="13">
        <f>IF(NOT(ISNUMBER($E14)),"",IF($E14-$C14&lt;0.8,"A",IF($E14-$C14&lt;0.95,"B","C")))</f>
      </c>
    </row>
    <row r="15">
      <c r="E15" s="12">
        <f>IF(OR(NOT(ISNUMBER($C15)),$A16=""),"",$C15+N($E14))</f>
      </c>
      <c r="F15" s="13">
        <f>IF(NOT(ISNUMBER($E15)),"",IF($E15-$C15&lt;0.8,"A",IF($E15-$C15&lt;0.95,"B","C")))</f>
      </c>
    </row>
    <row r="16">
      <c r="E16" s="12">
        <f>IF(OR(NOT(ISNUMBER($C16)),$A17=""),"",$C16+N($E15))</f>
      </c>
      <c r="F16" s="13">
        <f>IF(NOT(ISNUMBER($E16)),"",IF($E16-$C16&lt;0.8,"A",IF($E16-$C16&lt;0.95,"B","C")))</f>
      </c>
    </row>
    <row r="17">
      <c r="E17" s="12">
        <f>IF(OR(NOT(ISNUMBER($C17)),$A18=""),"",$C17+N($E16))</f>
      </c>
      <c r="F17" s="13">
        <f>IF(NOT(ISNUMBER($E17)),"",IF($E17-$C17&lt;0.8,"A",IF($E17-$C17&lt;0.95,"B","C")))</f>
      </c>
    </row>
    <row r="18">
      <c r="E18" s="12">
        <f>IF(OR(NOT(ISNUMBER($C18)),$A19=""),"",$C18+N($E17))</f>
      </c>
      <c r="F18" s="13">
        <f>IF(NOT(ISNUMBER($E18)),"",IF($E18-$C18&lt;0.8,"A",IF($E18-$C18&lt;0.95,"B","C")))</f>
      </c>
    </row>
    <row r="19">
      <c r="E19" s="12">
        <f>IF(OR(NOT(ISNUMBER($C19)),$A20=""),"",$C19+N($E18))</f>
      </c>
      <c r="F19" s="13">
        <f>IF(NOT(ISNUMBER($E19)),"",IF($E19-$C19&lt;0.8,"A",IF($E19-$C19&lt;0.95,"B","C")))</f>
      </c>
    </row>
    <row r="20">
      <c r="E20" s="12">
        <f>IF(OR(NOT(ISNUMBER($C20)),$A21=""),"",$C20+N($E19))</f>
      </c>
      <c r="F20" s="13">
        <f>IF(NOT(ISNUMBER($E20)),"",IF($E20-$C20&lt;0.8,"A",IF($E20-$C20&lt;0.95,"B","C")))</f>
      </c>
    </row>
    <row r="21">
      <c r="E21" s="12">
        <f>IF(OR(NOT(ISNUMBER($C21)),$A22=""),"",$C21+N($E20))</f>
      </c>
      <c r="F21" s="13">
        <f>IF(NOT(ISNUMBER($E21)),"",IF($E21-$C21&lt;0.8,"A",IF($E21-$C21&lt;0.95,"B","C")))</f>
      </c>
    </row>
    <row r="22">
      <c r="E22" s="12">
        <f>IF(OR(NOT(ISNUMBER($C22)),$A23=""),"",$C22+N($E21))</f>
      </c>
      <c r="F22" s="13">
        <f>IF(NOT(ISNUMBER($E22)),"",IF($E22-$C22&lt;0.8,"A",IF($E22-$C22&lt;0.95,"B","C")))</f>
      </c>
    </row>
    <row r="23">
      <c r="E23" s="12">
        <f>IF(OR(NOT(ISNUMBER($C23)),$A24=""),"",$C23+N($E22))</f>
      </c>
      <c r="F23" s="13">
        <f>IF(NOT(ISNUMBER($E23)),"",IF($E23-$C23&lt;0.8,"A",IF($E23-$C23&lt;0.95,"B","C")))</f>
      </c>
    </row>
    <row r="24">
      <c r="E24" s="12">
        <f>IF(OR(NOT(ISNUMBER($C24)),$A25=""),"",$C24+N($E23))</f>
      </c>
      <c r="F24" s="13">
        <f>IF(NOT(ISNUMBER($E24)),"",IF($E24-$C24&lt;0.8,"A",IF($E24-$C24&lt;0.95,"B","C")))</f>
      </c>
    </row>
    <row r="25">
      <c r="E25" s="12">
        <f>IF(OR(NOT(ISNUMBER($C25)),$A26=""),"",$C25+N($E24))</f>
      </c>
      <c r="F25" s="13">
        <f>IF(NOT(ISNUMBER($E25)),"",IF($E25-$C25&lt;0.8,"A",IF($E25-$C25&lt;0.95,"B","C")))</f>
      </c>
    </row>
    <row r="26">
      <c r="E26" s="12">
        <f>IF(OR(NOT(ISNUMBER($C26)),$A27=""),"",$C26+N($E25))</f>
      </c>
      <c r="F26" s="13">
        <f>IF(NOT(ISNUMBER($E26)),"",IF($E26-$C26&lt;0.8,"A",IF($E26-$C26&lt;0.95,"B","C")))</f>
      </c>
    </row>
    <row r="27">
      <c r="E27" s="12">
        <f>IF(OR(NOT(ISNUMBER($C27)),$A28=""),"",$C27+N($E26))</f>
      </c>
      <c r="F27" s="13">
        <f>IF(NOT(ISNUMBER($E27)),"",IF($E27-$C27&lt;0.8,"A",IF($E27-$C27&lt;0.95,"B","C")))</f>
      </c>
    </row>
    <row r="28">
      <c r="E28" s="12">
        <f>IF(OR(NOT(ISNUMBER($C28)),$A29=""),"",$C28+N($E27))</f>
      </c>
      <c r="F28" s="13">
        <f>IF(NOT(ISNUMBER($E28)),"",IF($E28-$C28&lt;0.8,"A",IF($E28-$C28&lt;0.95,"B","C")))</f>
      </c>
    </row>
    <row r="29">
      <c r="E29" s="12">
        <f>IF(OR(NOT(ISNUMBER($C29)),$A30=""),"",$C29+N($E28))</f>
      </c>
      <c r="F29" s="13">
        <f>IF(NOT(ISNUMBER($E29)),"",IF($E29-$C29&lt;0.8,"A",IF($E29-$C29&lt;0.95,"B","C")))</f>
      </c>
    </row>
    <row r="30">
      <c r="E30" s="12">
        <f>IF(OR(NOT(ISNUMBER($C30)),$A31=""),"",$C30+N($E29))</f>
      </c>
      <c r="F30" s="13">
        <f>IF(NOT(ISNUMBER($E30)),"",IF($E30-$C30&lt;0.8,"A",IF($E30-$C30&lt;0.95,"B","C")))</f>
      </c>
    </row>
    <row r="31">
      <c r="E31" s="12">
        <f>IF(OR(NOT(ISNUMBER($C31)),$A32=""),"",$C31+N($E30))</f>
      </c>
      <c r="F31" s="13">
        <f>IF(NOT(ISNUMBER($E31)),"",IF($E31-$C31&lt;0.8,"A",IF($E31-$C31&lt;0.95,"B","C")))</f>
      </c>
    </row>
    <row r="32">
      <c r="E32" s="12">
        <f>IF(OR(NOT(ISNUMBER($C32)),$A33=""),"",$C32+N($E31))</f>
      </c>
      <c r="F32" s="13">
        <f>IF(NOT(ISNUMBER($E32)),"",IF($E32-$C32&lt;0.8,"A",IF($E32-$C32&lt;0.95,"B","C")))</f>
      </c>
    </row>
    <row r="33">
      <c r="E33" s="12">
        <f>IF(OR(NOT(ISNUMBER($C33)),$A34=""),"",$C33+N($E32))</f>
      </c>
      <c r="F33" s="13">
        <f>IF(NOT(ISNUMBER($E33)),"",IF($E33-$C33&lt;0.8,"A",IF($E33-$C33&lt;0.95,"B","C")))</f>
      </c>
    </row>
    <row r="34">
      <c r="E34" s="12">
        <f>IF(OR(NOT(ISNUMBER($C34)),$A35=""),"",$C34+N($E33))</f>
      </c>
      <c r="F34" s="13">
        <f>IF(NOT(ISNUMBER($E34)),"",IF($E34-$C34&lt;0.8,"A",IF($E34-$C34&lt;0.95,"B","C")))</f>
      </c>
    </row>
    <row r="35">
      <c r="E35" s="12">
        <f>IF(OR(NOT(ISNUMBER($C35)),$A36=""),"",$C35+N($E34))</f>
      </c>
      <c r="F35" s="13">
        <f>IF(NOT(ISNUMBER($E35)),"",IF($E35-$C35&lt;0.8,"A",IF($E35-$C35&lt;0.95,"B","C")))</f>
      </c>
    </row>
    <row r="36">
      <c r="E36" s="12">
        <f>IF(OR(NOT(ISNUMBER($C36)),$A37=""),"",$C36+N($E35))</f>
      </c>
      <c r="F36" s="13">
        <f>IF(NOT(ISNUMBER($E36)),"",IF($E36-$C36&lt;0.8,"A",IF($E36-$C36&lt;0.95,"B","C")))</f>
      </c>
    </row>
    <row r="37">
      <c r="E37" s="12">
        <f>IF(OR(NOT(ISNUMBER($C37)),$A38=""),"",$C37+N($E36))</f>
      </c>
      <c r="F37" s="13">
        <f>IF(NOT(ISNUMBER($E37)),"",IF($E37-$C37&lt;0.8,"A",IF($E37-$C37&lt;0.95,"B","C")))</f>
      </c>
    </row>
    <row r="38">
      <c r="E38" s="12">
        <f>IF(OR(NOT(ISNUMBER($C38)),$A39=""),"",$C38+N($E37))</f>
      </c>
      <c r="F38" s="13">
        <f>IF(NOT(ISNUMBER($E38)),"",IF($E38-$C38&lt;0.8,"A",IF($E38-$C38&lt;0.95,"B","C")))</f>
      </c>
    </row>
    <row r="39">
      <c r="E39" s="12">
        <f>IF(OR(NOT(ISNUMBER($C39)),$A40=""),"",$C39+N($E38))</f>
      </c>
      <c r="F39" s="13">
        <f>IF(NOT(ISNUMBER($E39)),"",IF($E39-$C39&lt;0.8,"A",IF($E39-$C39&lt;0.95,"B","C")))</f>
      </c>
    </row>
    <row r="40">
      <c r="E40" s="12">
        <f>IF(OR(NOT(ISNUMBER($C40)),$A41=""),"",$C40+N($E39))</f>
      </c>
      <c r="F40" s="13">
        <f>IF(NOT(ISNUMBER($E40)),"",IF($E40-$C40&lt;0.8,"A",IF($E40-$C40&lt;0.95,"B","C")))</f>
      </c>
    </row>
    <row r="41">
      <c r="E41" s="12">
        <f>IF(OR(NOT(ISNUMBER($C41)),$A42=""),"",$C41+N($E40))</f>
      </c>
      <c r="F41" s="13">
        <f>IF(NOT(ISNUMBER($E41)),"",IF($E41-$C41&lt;0.8,"A",IF($E41-$C41&lt;0.95,"B","C")))</f>
      </c>
    </row>
    <row r="42">
      <c r="E42" s="12">
        <f>IF(OR(NOT(ISNUMBER($C42)),$A43=""),"",$C42+N($E41))</f>
      </c>
      <c r="F42" s="13">
        <f>IF(NOT(ISNUMBER($E42)),"",IF($E42-$C42&lt;0.8,"A",IF($E42-$C42&lt;0.95,"B","C")))</f>
      </c>
    </row>
    <row r="43">
      <c r="E43" s="12">
        <f>IF(OR(NOT(ISNUMBER($C43)),$A44=""),"",$C43+N($E42))</f>
      </c>
      <c r="F43" s="13">
        <f>IF(NOT(ISNUMBER($E43)),"",IF($E43-$C43&lt;0.8,"A",IF($E43-$C43&lt;0.95,"B","C")))</f>
      </c>
    </row>
    <row r="44">
      <c r="E44" s="12">
        <f>IF(OR(NOT(ISNUMBER($C44)),$A45=""),"",$C44+N($E43))</f>
      </c>
      <c r="F44" s="13">
        <f>IF(NOT(ISNUMBER($E44)),"",IF($E44-$C44&lt;0.8,"A",IF($E44-$C44&lt;0.95,"B","C")))</f>
      </c>
    </row>
    <row r="45">
      <c r="E45" s="12">
        <f>IF(OR(NOT(ISNUMBER($C45)),$A46=""),"",$C45+N($E44))</f>
      </c>
      <c r="F45" s="13">
        <f>IF(NOT(ISNUMBER($E45)),"",IF($E45-$C45&lt;0.8,"A",IF($E45-$C45&lt;0.95,"B","C")))</f>
      </c>
    </row>
    <row r="46">
      <c r="E46" s="12">
        <f>IF(OR(NOT(ISNUMBER($C46)),$A47=""),"",$C46+N($E45))</f>
      </c>
      <c r="F46" s="13">
        <f>IF(NOT(ISNUMBER($E46)),"",IF($E46-$C46&lt;0.8,"A",IF($E46-$C46&lt;0.95,"B","C")))</f>
      </c>
    </row>
    <row r="47">
      <c r="E47" s="12">
        <f>IF(OR(NOT(ISNUMBER($C47)),$A48=""),"",$C47+N($E46))</f>
      </c>
      <c r="F47" s="13">
        <f>IF(NOT(ISNUMBER($E47)),"",IF($E47-$C47&lt;0.8,"A",IF($E47-$C47&lt;0.95,"B","C")))</f>
      </c>
    </row>
    <row r="48">
      <c r="E48" s="12">
        <f>IF(OR(NOT(ISNUMBER($C48)),$A49=""),"",$C48+N($E47))</f>
      </c>
      <c r="F48" s="13">
        <f>IF(NOT(ISNUMBER($E48)),"",IF($E48-$C48&lt;0.8,"A",IF($E48-$C48&lt;0.95,"B","C")))</f>
      </c>
    </row>
    <row r="49">
      <c r="E49" s="12">
        <f>IF(OR(NOT(ISNUMBER($C49)),$A50=""),"",$C49+N($E48))</f>
      </c>
      <c r="F49" s="13">
        <f>IF(NOT(ISNUMBER($E49)),"",IF($E49-$C49&lt;0.8,"A",IF($E49-$C49&lt;0.95,"B","C")))</f>
      </c>
    </row>
    <row r="50">
      <c r="E50" s="12">
        <f>IF(OR(NOT(ISNUMBER($C50)),$A51=""),"",$C50+N($E49))</f>
      </c>
      <c r="F50" s="13">
        <f>IF(NOT(ISNUMBER($E50)),"",IF($E50-$C50&lt;0.8,"A",IF($E50-$C50&lt;0.95,"B","C")))</f>
      </c>
    </row>
    <row r="51">
      <c r="E51" s="12">
        <f>IF(OR(NOT(ISNUMBER($C51)),$A52=""),"",$C51+N($E50))</f>
      </c>
      <c r="F51" s="13">
        <f>IF(NOT(ISNUMBER($E51)),"",IF($E51-$C51&lt;0.8,"A",IF($E51-$C51&lt;0.95,"B","C")))</f>
      </c>
    </row>
    <row r="52">
      <c r="E52" s="12">
        <f>IF(OR(NOT(ISNUMBER($C52)),$A53=""),"",$C52+N($E51))</f>
      </c>
      <c r="F52" s="13">
        <f>IF(NOT(ISNUMBER($E52)),"",IF($E52-$C52&lt;0.8,"A",IF($E52-$C52&lt;0.95,"B","C")))</f>
      </c>
    </row>
    <row r="53">
      <c r="E53" s="12">
        <f>IF(OR(NOT(ISNUMBER($C53)),$A54=""),"",$C53+N($E52))</f>
      </c>
      <c r="F53" s="13">
        <f>IF(NOT(ISNUMBER($E53)),"",IF($E53-$C53&lt;0.8,"A",IF($E53-$C53&lt;0.95,"B","C")))</f>
      </c>
    </row>
    <row r="54">
      <c r="E54" s="12">
        <f>IF(OR(NOT(ISNUMBER($C54)),$A55=""),"",$C54+N($E53))</f>
      </c>
      <c r="F54" s="13">
        <f>IF(NOT(ISNUMBER($E54)),"",IF($E54-$C54&lt;0.8,"A",IF($E54-$C54&lt;0.95,"B","C")))</f>
      </c>
    </row>
    <row r="55">
      <c r="E55" s="12">
        <f>IF(OR(NOT(ISNUMBER($C55)),$A56=""),"",$C55+N($E54))</f>
      </c>
      <c r="F55" s="13">
        <f>IF(NOT(ISNUMBER($E55)),"",IF($E55-$C55&lt;0.8,"A",IF($E55-$C55&lt;0.95,"B","C")))</f>
      </c>
    </row>
    <row r="56">
      <c r="E56" s="12">
        <f>IF(OR(NOT(ISNUMBER($C56)),$A57=""),"",$C56+N($E55))</f>
      </c>
      <c r="F56" s="13">
        <f>IF(NOT(ISNUMBER($E56)),"",IF($E56-$C56&lt;0.8,"A",IF($E56-$C56&lt;0.95,"B","C")))</f>
      </c>
    </row>
    <row r="57">
      <c r="E57" s="12">
        <f>IF(OR(NOT(ISNUMBER($C57)),$A58=""),"",$C57+N($E56))</f>
      </c>
      <c r="F57" s="13">
        <f>IF(NOT(ISNUMBER($E57)),"",IF($E57-$C57&lt;0.8,"A",IF($E57-$C57&lt;0.95,"B","C")))</f>
      </c>
    </row>
    <row r="58">
      <c r="E58" s="12">
        <f>IF(OR(NOT(ISNUMBER($C58)),$A59=""),"",$C58+N($E57))</f>
      </c>
      <c r="F58" s="13">
        <f>IF(NOT(ISNUMBER($E58)),"",IF($E58-$C58&lt;0.8,"A",IF($E58-$C58&lt;0.95,"B","C")))</f>
      </c>
    </row>
    <row r="59">
      <c r="E59" s="12">
        <f>IF(OR(NOT(ISNUMBER($C59)),$A60=""),"",$C59+N($E58))</f>
      </c>
      <c r="F59" s="13">
        <f>IF(NOT(ISNUMBER($E59)),"",IF($E59-$C59&lt;0.8,"A",IF($E59-$C59&lt;0.95,"B","C")))</f>
      </c>
    </row>
    <row r="60">
      <c r="E60" s="12">
        <f>IF(OR(NOT(ISNUMBER($C60)),$A61=""),"",$C60+N($E59))</f>
      </c>
      <c r="F60" s="13">
        <f>IF(NOT(ISNUMBER($E60)),"",IF($E60-$C60&lt;0.8,"A",IF($E60-$C60&lt;0.95,"B","C")))</f>
      </c>
    </row>
    <row r="61">
      <c r="E61" s="12">
        <f>IF(OR(NOT(ISNUMBER($C61)),$A62=""),"",$C61+N($E60))</f>
      </c>
      <c r="F61" s="13">
        <f>IF(NOT(ISNUMBER($E61)),"",IF($E61-$C61&lt;0.8,"A",IF($E61-$C61&lt;0.95,"B","C")))</f>
      </c>
    </row>
    <row r="62">
      <c r="E62" s="12">
        <f>IF(OR(NOT(ISNUMBER($C62)),$A63=""),"",$C62+N($E61))</f>
      </c>
      <c r="F62" s="13">
        <f>IF(NOT(ISNUMBER($E62)),"",IF($E62-$C62&lt;0.8,"A",IF($E62-$C62&lt;0.95,"B","C")))</f>
      </c>
    </row>
    <row r="63">
      <c r="E63" s="12">
        <f>IF(OR(NOT(ISNUMBER($C63)),$A64=""),"",$C63+N($E62))</f>
      </c>
      <c r="F63" s="13">
        <f>IF(NOT(ISNUMBER($E63)),"",IF($E63-$C63&lt;0.8,"A",IF($E63-$C63&lt;0.95,"B","C")))</f>
      </c>
    </row>
    <row r="64">
      <c r="E64" s="12">
        <f>IF(OR(NOT(ISNUMBER($C64)),$A65=""),"",$C64+N($E63))</f>
      </c>
      <c r="F64" s="13">
        <f>IF(NOT(ISNUMBER($E64)),"",IF($E64-$C64&lt;0.8,"A",IF($E64-$C64&lt;0.95,"B","C")))</f>
      </c>
    </row>
    <row r="65">
      <c r="E65" s="12">
        <f>IF(OR(NOT(ISNUMBER($C65)),$A66=""),"",$C65+N($E64))</f>
      </c>
      <c r="F65" s="13">
        <f>IF(NOT(ISNUMBER($E65)),"",IF($E65-$C65&lt;0.8,"A",IF($E65-$C65&lt;0.95,"B","C")))</f>
      </c>
    </row>
    <row r="66">
      <c r="E66" s="12">
        <f>IF(OR(NOT(ISNUMBER($C66)),$A67=""),"",$C66+N($E65))</f>
      </c>
      <c r="F66" s="13">
        <f>IF(NOT(ISNUMBER($E66)),"",IF($E66-$C66&lt;0.8,"A",IF($E66-$C66&lt;0.95,"B","C")))</f>
      </c>
    </row>
    <row r="67">
      <c r="E67" s="12">
        <f>IF(OR(NOT(ISNUMBER($C67)),$A68=""),"",$C67+N($E66))</f>
      </c>
      <c r="F67" s="13">
        <f>IF(NOT(ISNUMBER($E67)),"",IF($E67-$C67&lt;0.8,"A",IF($E67-$C67&lt;0.95,"B","C")))</f>
      </c>
    </row>
    <row r="68">
      <c r="E68" s="12">
        <f>IF(OR(NOT(ISNUMBER($C68)),$A69=""),"",$C68+N($E67))</f>
      </c>
      <c r="F68" s="13">
        <f>IF(NOT(ISNUMBER($E68)),"",IF($E68-$C68&lt;0.8,"A",IF($E68-$C68&lt;0.95,"B","C")))</f>
      </c>
    </row>
    <row r="69">
      <c r="E69" s="12">
        <f>IF(OR(NOT(ISNUMBER($C69)),$A70=""),"",$C69+N($E68))</f>
      </c>
      <c r="F69" s="13">
        <f>IF(NOT(ISNUMBER($E69)),"",IF($E69-$C69&lt;0.8,"A",IF($E69-$C69&lt;0.95,"B","C")))</f>
      </c>
    </row>
    <row r="70">
      <c r="E70" s="12">
        <f>IF(OR(NOT(ISNUMBER($C70)),$A71=""),"",$C70+N($E69))</f>
      </c>
      <c r="F70" s="13">
        <f>IF(NOT(ISNUMBER($E70)),"",IF($E70-$C70&lt;0.8,"A",IF($E70-$C70&lt;0.95,"B","C")))</f>
      </c>
    </row>
    <row r="71">
      <c r="E71" s="12">
        <f>IF(OR(NOT(ISNUMBER($C71)),$A72=""),"",$C71+N($E70))</f>
      </c>
      <c r="F71" s="13">
        <f>IF(NOT(ISNUMBER($E71)),"",IF($E71-$C71&lt;0.8,"A",IF($E71-$C71&lt;0.95,"B","C")))</f>
      </c>
    </row>
    <row r="72">
      <c r="E72" s="12">
        <f>IF(OR(NOT(ISNUMBER($C72)),$A73=""),"",$C72+N($E71))</f>
      </c>
      <c r="F72" s="13">
        <f>IF(NOT(ISNUMBER($E72)),"",IF($E72-$C72&lt;0.8,"A",IF($E72-$C72&lt;0.95,"B","C")))</f>
      </c>
    </row>
    <row r="73">
      <c r="E73" s="12">
        <f>IF(OR(NOT(ISNUMBER($C73)),$A74=""),"",$C73+N($E72))</f>
      </c>
      <c r="F73" s="13">
        <f>IF(NOT(ISNUMBER($E73)),"",IF($E73-$C73&lt;0.8,"A",IF($E73-$C73&lt;0.95,"B","C")))</f>
      </c>
    </row>
    <row r="74">
      <c r="E74" s="12">
        <f>IF(OR(NOT(ISNUMBER($C74)),$A75=""),"",$C74+N($E73))</f>
      </c>
      <c r="F74" s="13">
        <f>IF(NOT(ISNUMBER($E74)),"",IF($E74-$C74&lt;0.8,"A",IF($E74-$C74&lt;0.95,"B","C")))</f>
      </c>
    </row>
    <row r="75">
      <c r="E75" s="12">
        <f>IF(OR(NOT(ISNUMBER($C75)),$A76=""),"",$C75+N($E74))</f>
      </c>
      <c r="F75" s="13">
        <f>IF(NOT(ISNUMBER($E75)),"",IF($E75-$C75&lt;0.8,"A",IF($E75-$C75&lt;0.95,"B","C")))</f>
      </c>
    </row>
    <row r="76">
      <c r="E76" s="12">
        <f>IF(OR(NOT(ISNUMBER($C76)),$A77=""),"",$C76+N($E75))</f>
      </c>
      <c r="F76" s="13">
        <f>IF(NOT(ISNUMBER($E76)),"",IF($E76-$C76&lt;0.8,"A",IF($E76-$C76&lt;0.95,"B","C")))</f>
      </c>
    </row>
    <row r="77">
      <c r="E77" s="12">
        <f>IF(OR(NOT(ISNUMBER($C77)),$A78=""),"",$C77+N($E76))</f>
      </c>
      <c r="F77" s="13">
        <f>IF(NOT(ISNUMBER($E77)),"",IF($E77-$C77&lt;0.8,"A",IF($E77-$C77&lt;0.95,"B","C")))</f>
      </c>
    </row>
    <row r="78">
      <c r="E78" s="12">
        <f>IF(OR(NOT(ISNUMBER($C78)),$A79=""),"",$C78+N($E77))</f>
      </c>
      <c r="F78" s="13">
        <f>IF(NOT(ISNUMBER($E78)),"",IF($E78-$C78&lt;0.8,"A",IF($E78-$C78&lt;0.95,"B","C")))</f>
      </c>
    </row>
    <row r="79">
      <c r="E79" s="12">
        <f>IF(OR(NOT(ISNUMBER($C79)),$A80=""),"",$C79+N($E78))</f>
      </c>
      <c r="F79" s="13">
        <f>IF(NOT(ISNUMBER($E79)),"",IF($E79-$C79&lt;0.8,"A",IF($E79-$C79&lt;0.95,"B","C")))</f>
      </c>
    </row>
    <row r="80">
      <c r="E80" s="12">
        <f>IF(OR(NOT(ISNUMBER($C80)),$A81=""),"",$C80+N($E79))</f>
      </c>
      <c r="F80" s="13">
        <f>IF(NOT(ISNUMBER($E80)),"",IF($E80-$C80&lt;0.8,"A",IF($E80-$C80&lt;0.95,"B","C")))</f>
      </c>
    </row>
    <row r="81">
      <c r="E81" s="12">
        <f>IF(OR(NOT(ISNUMBER($C81)),$A82=""),"",$C81+N($E80))</f>
      </c>
      <c r="F81" s="13">
        <f>IF(NOT(ISNUMBER($E81)),"",IF($E81-$C81&lt;0.8,"A",IF($E81-$C81&lt;0.95,"B","C")))</f>
      </c>
    </row>
    <row r="82">
      <c r="E82" s="12">
        <f>IF(OR(NOT(ISNUMBER($C82)),$A83=""),"",$C82+N($E81))</f>
      </c>
      <c r="F82" s="13">
        <f>IF(NOT(ISNUMBER($E82)),"",IF($E82-$C82&lt;0.8,"A",IF($E82-$C82&lt;0.95,"B","C")))</f>
      </c>
    </row>
    <row r="83">
      <c r="E83" s="12">
        <f>IF(OR(NOT(ISNUMBER($C83)),$A84=""),"",$C83+N($E82))</f>
      </c>
      <c r="F83" s="13">
        <f>IF(NOT(ISNUMBER($E83)),"",IF($E83-$C83&lt;0.8,"A",IF($E83-$C83&lt;0.95,"B","C")))</f>
      </c>
    </row>
    <row r="84">
      <c r="E84" s="12">
        <f>IF(OR(NOT(ISNUMBER($C84)),$A85=""),"",$C84+N($E83))</f>
      </c>
      <c r="F84" s="13">
        <f>IF(NOT(ISNUMBER($E84)),"",IF($E84-$C84&lt;0.8,"A",IF($E84-$C84&lt;0.95,"B","C")))</f>
      </c>
    </row>
    <row r="85">
      <c r="E85" s="12">
        <f>IF(OR(NOT(ISNUMBER($C85)),$A86=""),"",$C85+N($E84))</f>
      </c>
      <c r="F85" s="13">
        <f>IF(NOT(ISNUMBER($E85)),"",IF($E85-$C85&lt;0.8,"A",IF($E85-$C85&lt;0.95,"B","C")))</f>
      </c>
    </row>
    <row r="86">
      <c r="E86" s="12">
        <f>IF(OR(NOT(ISNUMBER($C86)),$A87=""),"",$C86+N($E85))</f>
      </c>
      <c r="F86" s="13">
        <f>IF(NOT(ISNUMBER($E86)),"",IF($E86-$C86&lt;0.8,"A",IF($E86-$C86&lt;0.95,"B","C")))</f>
      </c>
    </row>
    <row r="87">
      <c r="E87" s="12">
        <f>IF(OR(NOT(ISNUMBER($C87)),$A88=""),"",$C87+N($E86))</f>
      </c>
      <c r="F87" s="13">
        <f>IF(NOT(ISNUMBER($E87)),"",IF($E87-$C87&lt;0.8,"A",IF($E87-$C87&lt;0.95,"B","C")))</f>
      </c>
    </row>
    <row r="88">
      <c r="E88" s="12">
        <f>IF(OR(NOT(ISNUMBER($C88)),$A89=""),"",$C88+N($E87))</f>
      </c>
      <c r="F88" s="13">
        <f>IF(NOT(ISNUMBER($E88)),"",IF($E88-$C88&lt;0.8,"A",IF($E88-$C88&lt;0.95,"B","C")))</f>
      </c>
    </row>
    <row r="89">
      <c r="E89" s="12">
        <f>IF(OR(NOT(ISNUMBER($C89)),$A90=""),"",$C89+N($E88))</f>
      </c>
      <c r="F89" s="13">
        <f>IF(NOT(ISNUMBER($E89)),"",IF($E89-$C89&lt;0.8,"A",IF($E89-$C89&lt;0.95,"B","C")))</f>
      </c>
    </row>
    <row r="90">
      <c r="E90" s="12">
        <f>IF(OR(NOT(ISNUMBER($C90)),$A91=""),"",$C90+N($E89))</f>
      </c>
      <c r="F90" s="13">
        <f>IF(NOT(ISNUMBER($E90)),"",IF($E90-$C90&lt;0.8,"A",IF($E90-$C90&lt;0.95,"B","C")))</f>
      </c>
    </row>
    <row r="91">
      <c r="E91" s="12">
        <f>IF(OR(NOT(ISNUMBER($C91)),$A92=""),"",$C91+N($E90))</f>
      </c>
      <c r="F91" s="13">
        <f>IF(NOT(ISNUMBER($E91)),"",IF($E91-$C91&lt;0.8,"A",IF($E91-$C91&lt;0.95,"B","C")))</f>
      </c>
    </row>
    <row r="92">
      <c r="E92" s="12">
        <f>IF(OR(NOT(ISNUMBER($C92)),$A93=""),"",$C92+N($E91))</f>
      </c>
      <c r="F92" s="13">
        <f>IF(NOT(ISNUMBER($E92)),"",IF($E92-$C92&lt;0.8,"A",IF($E92-$C92&lt;0.95,"B","C")))</f>
      </c>
    </row>
    <row r="93">
      <c r="E93" s="12">
        <f>IF(OR(NOT(ISNUMBER($C93)),$A94=""),"",$C93+N($E92))</f>
      </c>
      <c r="F93" s="13">
        <f>IF(NOT(ISNUMBER($E93)),"",IF($E93-$C93&lt;0.8,"A",IF($E93-$C93&lt;0.95,"B","C")))</f>
      </c>
    </row>
    <row r="94">
      <c r="E94" s="12">
        <f>IF(OR(NOT(ISNUMBER($C94)),$A95=""),"",$C94+N($E93))</f>
      </c>
      <c r="F94" s="13">
        <f>IF(NOT(ISNUMBER($E94)),"",IF($E94-$C94&lt;0.8,"A",IF($E94-$C94&lt;0.95,"B","C")))</f>
      </c>
    </row>
    <row r="95">
      <c r="E95" s="12">
        <f>IF(OR(NOT(ISNUMBER($C95)),$A96=""),"",$C95+N($E94))</f>
      </c>
      <c r="F95" s="13">
        <f>IF(NOT(ISNUMBER($E95)),"",IF($E95-$C95&lt;0.8,"A",IF($E95-$C95&lt;0.95,"B","C")))</f>
      </c>
    </row>
    <row r="96">
      <c r="E96" s="12">
        <f>IF(OR(NOT(ISNUMBER($C96)),$A97=""),"",$C96+N($E95))</f>
      </c>
      <c r="F96" s="13">
        <f>IF(NOT(ISNUMBER($E96)),"",IF($E96-$C96&lt;0.8,"A",IF($E96-$C96&lt;0.95,"B","C")))</f>
      </c>
    </row>
    <row r="97">
      <c r="E97" s="12">
        <f>IF(OR(NOT(ISNUMBER($C97)),$A98=""),"",$C97+N($E96))</f>
      </c>
      <c r="F97" s="13">
        <f>IF(NOT(ISNUMBER($E97)),"",IF($E97-$C97&lt;0.8,"A",IF($E97-$C97&lt;0.95,"B","C")))</f>
      </c>
    </row>
    <row r="98">
      <c r="E98" s="12">
        <f>IF(OR(NOT(ISNUMBER($C98)),$A99=""),"",$C98+N($E97))</f>
      </c>
      <c r="F98" s="13">
        <f>IF(NOT(ISNUMBER($E98)),"",IF($E98-$C98&lt;0.8,"A",IF($E98-$C98&lt;0.95,"B","C")))</f>
      </c>
    </row>
    <row r="99">
      <c r="E99" s="12">
        <f>IF(OR(NOT(ISNUMBER($C99)),$A100=""),"",$C99+N($E98))</f>
      </c>
      <c r="F99" s="13">
        <f>IF(NOT(ISNUMBER($E99)),"",IF($E99-$C99&lt;0.8,"A",IF($E99-$C99&lt;0.95,"B","C")))</f>
      </c>
    </row>
    <row r="100">
      <c r="E100" s="12">
        <f>IF(OR(NOT(ISNUMBER($C100)),$A101=""),"",$C100+N($E99))</f>
      </c>
      <c r="F100" s="13">
        <f>IF(NOT(ISNUMBER($E100)),"",IF($E100-$C100&lt;0.8,"A",IF($E100-$C100&lt;0.95,"B","C")))</f>
      </c>
    </row>
    <row r="101">
      <c r="E101" s="12">
        <f>IF(OR(NOT(ISNUMBER($C101)),$A102=""),"",$C101+N($E100))</f>
      </c>
      <c r="F101" s="13">
        <f>IF(NOT(ISNUMBER($E101)),"",IF($E101-$C101&lt;0.8,"A",IF($E101-$C101&lt;0.95,"B","C")))</f>
      </c>
    </row>
    <row r="102">
      <c r="E102" s="12">
        <f>IF(OR(NOT(ISNUMBER($C102)),$A103=""),"",$C102+N($E101))</f>
      </c>
      <c r="F102" s="13">
        <f>IF(NOT(ISNUMBER($E102)),"",IF($E102-$C102&lt;0.8,"A",IF($E102-$C102&lt;0.95,"B","C")))</f>
      </c>
    </row>
    <row r="103">
      <c r="E103" s="12">
        <f>IF(OR(NOT(ISNUMBER($C103)),$A104=""),"",$C103+N($E102))</f>
      </c>
      <c r="F103" s="13">
        <f>IF(NOT(ISNUMBER($E103)),"",IF($E103-$C103&lt;0.8,"A",IF($E103-$C103&lt;0.95,"B","C")))</f>
      </c>
    </row>
    <row r="104">
      <c r="E104" s="12">
        <f>IF(OR(NOT(ISNUMBER($C104)),$A105=""),"",$C104+N($E103))</f>
      </c>
      <c r="F104" s="13">
        <f>IF(NOT(ISNUMBER($E104)),"",IF($E104-$C104&lt;0.8,"A",IF($E104-$C104&lt;0.95,"B","C")))</f>
      </c>
    </row>
    <row r="105">
      <c r="E105" s="12">
        <f>IF(OR(NOT(ISNUMBER($C105)),$A106=""),"",$C105+N($E104))</f>
      </c>
      <c r="F105" s="13">
        <f>IF(NOT(ISNUMBER($E105)),"",IF($E105-$C105&lt;0.8,"A",IF($E105-$C105&lt;0.95,"B","C")))</f>
      </c>
    </row>
    <row r="106">
      <c r="E106" s="12">
        <f>IF(OR(NOT(ISNUMBER($C106)),$A107=""),"",$C106+N($E105))</f>
      </c>
      <c r="F106" s="13">
        <f>IF(NOT(ISNUMBER($E106)),"",IF($E106-$C106&lt;0.8,"A",IF($E106-$C106&lt;0.95,"B","C")))</f>
      </c>
    </row>
    <row r="107">
      <c r="E107" s="12">
        <f>IF(OR(NOT(ISNUMBER($C107)),$A108=""),"",$C107+N($E106))</f>
      </c>
      <c r="F107" s="13">
        <f>IF(NOT(ISNUMBER($E107)),"",IF($E107-$C107&lt;0.8,"A",IF($E107-$C107&lt;0.95,"B","C")))</f>
      </c>
    </row>
    <row r="108">
      <c r="E108" s="12">
        <f>IF(OR(NOT(ISNUMBER($C108)),$A109=""),"",$C108+N($E107))</f>
      </c>
      <c r="F108" s="13">
        <f>IF(NOT(ISNUMBER($E108)),"",IF($E108-$C108&lt;0.8,"A",IF($E108-$C108&lt;0.95,"B","C")))</f>
      </c>
    </row>
    <row r="109">
      <c r="E109" s="12">
        <f>IF(OR(NOT(ISNUMBER($C109)),$A110=""),"",$C109+N($E108))</f>
      </c>
      <c r="F109" s="13">
        <f>IF(NOT(ISNUMBER($E109)),"",IF($E109-$C109&lt;0.8,"A",IF($E109-$C109&lt;0.95,"B","C")))</f>
      </c>
    </row>
    <row r="110">
      <c r="E110" s="12">
        <f>IF(OR(NOT(ISNUMBER($C110)),$A111=""),"",$C110+N($E109))</f>
      </c>
      <c r="F110" s="13">
        <f>IF(NOT(ISNUMBER($E110)),"",IF($E110-$C110&lt;0.8,"A",IF($E110-$C110&lt;0.95,"B","C")))</f>
      </c>
    </row>
    <row r="111">
      <c r="E111" s="12">
        <f>IF(OR(NOT(ISNUMBER($C111)),$A112=""),"",$C111+N($E110))</f>
      </c>
      <c r="F111" s="13">
        <f>IF(NOT(ISNUMBER($E111)),"",IF($E111-$C111&lt;0.8,"A",IF($E111-$C111&lt;0.95,"B","C")))</f>
      </c>
    </row>
    <row r="112">
      <c r="E112" s="12">
        <f>IF(OR(NOT(ISNUMBER($C112)),$A113=""),"",$C112+N($E111))</f>
      </c>
      <c r="F112" s="13">
        <f>IF(NOT(ISNUMBER($E112)),"",IF($E112-$C112&lt;0.8,"A",IF($E112-$C112&lt;0.95,"B","C")))</f>
      </c>
    </row>
    <row r="113">
      <c r="E113" s="12">
        <f>IF(OR(NOT(ISNUMBER($C113)),$A114=""),"",$C113+N($E112))</f>
      </c>
      <c r="F113" s="13">
        <f>IF(NOT(ISNUMBER($E113)),"",IF($E113-$C113&lt;0.8,"A",IF($E113-$C113&lt;0.95,"B","C")))</f>
      </c>
    </row>
    <row r="114">
      <c r="E114" s="12">
        <f>IF(OR(NOT(ISNUMBER($C114)),$A115=""),"",$C114+N($E113))</f>
      </c>
      <c r="F114" s="13">
        <f>IF(NOT(ISNUMBER($E114)),"",IF($E114-$C114&lt;0.8,"A",IF($E114-$C114&lt;0.95,"B","C")))</f>
      </c>
    </row>
    <row r="115">
      <c r="E115" s="12">
        <f>IF(OR(NOT(ISNUMBER($C115)),$A116=""),"",$C115+N($E114))</f>
      </c>
      <c r="F115" s="13">
        <f>IF(NOT(ISNUMBER($E115)),"",IF($E115-$C115&lt;0.8,"A",IF($E115-$C115&lt;0.95,"B","C")))</f>
      </c>
    </row>
    <row r="116">
      <c r="E116" s="12">
        <f>IF(OR(NOT(ISNUMBER($C116)),$A117=""),"",$C116+N($E115))</f>
      </c>
      <c r="F116" s="13">
        <f>IF(NOT(ISNUMBER($E116)),"",IF($E116-$C116&lt;0.8,"A",IF($E116-$C116&lt;0.95,"B","C")))</f>
      </c>
    </row>
    <row r="117">
      <c r="E117" s="12">
        <f>IF(OR(NOT(ISNUMBER($C117)),$A118=""),"",$C117+N($E116))</f>
      </c>
      <c r="F117" s="13">
        <f>IF(NOT(ISNUMBER($E117)),"",IF($E117-$C117&lt;0.8,"A",IF($E117-$C117&lt;0.95,"B","C")))</f>
      </c>
    </row>
    <row r="118">
      <c r="E118" s="12">
        <f>IF(OR(NOT(ISNUMBER($C118)),$A119=""),"",$C118+N($E117))</f>
      </c>
      <c r="F118" s="13">
        <f>IF(NOT(ISNUMBER($E118)),"",IF($E118-$C118&lt;0.8,"A",IF($E118-$C118&lt;0.95,"B","C")))</f>
      </c>
    </row>
    <row r="119">
      <c r="E119" s="12">
        <f>IF(OR(NOT(ISNUMBER($C119)),$A120=""),"",$C119+N($E118))</f>
      </c>
      <c r="F119" s="13">
        <f>IF(NOT(ISNUMBER($E119)),"",IF($E119-$C119&lt;0.8,"A",IF($E119-$C119&lt;0.95,"B","C")))</f>
      </c>
    </row>
    <row r="120">
      <c r="E120" s="12">
        <f>IF(OR(NOT(ISNUMBER($C120)),$A121=""),"",$C120+N($E119))</f>
      </c>
      <c r="F120" s="13">
        <f>IF(NOT(ISNUMBER($E120)),"",IF($E120-$C120&lt;0.8,"A",IF($E120-$C120&lt;0.95,"B","C")))</f>
      </c>
    </row>
    <row r="121">
      <c r="E121" s="12">
        <f>IF(OR(NOT(ISNUMBER($C121)),$A122=""),"",$C121+N($E120))</f>
      </c>
      <c r="F121" s="13">
        <f>IF(NOT(ISNUMBER($E121)),"",IF($E121-$C121&lt;0.8,"A",IF($E121-$C121&lt;0.95,"B","C")))</f>
      </c>
    </row>
    <row r="122">
      <c r="E122" s="12">
        <f>IF(OR(NOT(ISNUMBER($C122)),$A123=""),"",$C122+N($E121))</f>
      </c>
      <c r="F122" s="13">
        <f>IF(NOT(ISNUMBER($E122)),"",IF($E122-$C122&lt;0.8,"A",IF($E122-$C122&lt;0.95,"B","C")))</f>
      </c>
    </row>
    <row r="123">
      <c r="E123" s="12">
        <f>IF(OR(NOT(ISNUMBER($C123)),$A124=""),"",$C123+N($E122))</f>
      </c>
      <c r="F123" s="13">
        <f>IF(NOT(ISNUMBER($E123)),"",IF($E123-$C123&lt;0.8,"A",IF($E123-$C123&lt;0.95,"B","C")))</f>
      </c>
    </row>
    <row r="124">
      <c r="E124" s="12">
        <f>IF(OR(NOT(ISNUMBER($C124)),$A125=""),"",$C124+N($E123))</f>
      </c>
      <c r="F124" s="13">
        <f>IF(NOT(ISNUMBER($E124)),"",IF($E124-$C124&lt;0.8,"A",IF($E124-$C124&lt;0.95,"B","C")))</f>
      </c>
    </row>
    <row r="125">
      <c r="E125" s="12">
        <f>IF(OR(NOT(ISNUMBER($C125)),$A126=""),"",$C125+N($E124))</f>
      </c>
      <c r="F125" s="13">
        <f>IF(NOT(ISNUMBER($E125)),"",IF($E125-$C125&lt;0.8,"A",IF($E125-$C125&lt;0.95,"B","C")))</f>
      </c>
    </row>
    <row r="126">
      <c r="E126" s="12">
        <f>IF(OR(NOT(ISNUMBER($C126)),$A127=""),"",$C126+N($E125))</f>
      </c>
      <c r="F126" s="13">
        <f>IF(NOT(ISNUMBER($E126)),"",IF($E126-$C126&lt;0.8,"A",IF($E126-$C126&lt;0.95,"B","C")))</f>
      </c>
    </row>
    <row r="127">
      <c r="E127" s="12">
        <f>IF(OR(NOT(ISNUMBER($C127)),$A128=""),"",$C127+N($E126))</f>
      </c>
      <c r="F127" s="13">
        <f>IF(NOT(ISNUMBER($E127)),"",IF($E127-$C127&lt;0.8,"A",IF($E127-$C127&lt;0.95,"B","C")))</f>
      </c>
    </row>
    <row r="128">
      <c r="E128" s="12">
        <f>IF(OR(NOT(ISNUMBER($C128)),$A129=""),"",$C128+N($E127))</f>
      </c>
      <c r="F128" s="13">
        <f>IF(NOT(ISNUMBER($E128)),"",IF($E128-$C128&lt;0.8,"A",IF($E128-$C128&lt;0.95,"B","C")))</f>
      </c>
    </row>
    <row r="129">
      <c r="E129" s="12">
        <f>IF(OR(NOT(ISNUMBER($C129)),$A130=""),"",$C129+N($E128))</f>
      </c>
      <c r="F129" s="13">
        <f>IF(NOT(ISNUMBER($E129)),"",IF($E129-$C129&lt;0.8,"A",IF($E129-$C129&lt;0.95,"B","C")))</f>
      </c>
    </row>
    <row r="130">
      <c r="E130" s="12">
        <f>IF(OR(NOT(ISNUMBER($C130)),$A131=""),"",$C130+N($E129))</f>
      </c>
      <c r="F130" s="13">
        <f>IF(NOT(ISNUMBER($E130)),"",IF($E130-$C130&lt;0.8,"A",IF($E130-$C130&lt;0.95,"B","C")))</f>
      </c>
    </row>
    <row r="131">
      <c r="E131" s="12">
        <f>IF(OR(NOT(ISNUMBER($C131)),$A132=""),"",$C131+N($E130))</f>
      </c>
      <c r="F131" s="13">
        <f>IF(NOT(ISNUMBER($E131)),"",IF($E131-$C131&lt;0.8,"A",IF($E131-$C131&lt;0.95,"B","C")))</f>
      </c>
    </row>
    <row r="132">
      <c r="E132" s="12">
        <f>IF(OR(NOT(ISNUMBER($C132)),$A133=""),"",$C132+N($E131))</f>
      </c>
      <c r="F132" s="13">
        <f>IF(NOT(ISNUMBER($E132)),"",IF($E132-$C132&lt;0.8,"A",IF($E132-$C132&lt;0.95,"B","C")))</f>
      </c>
    </row>
    <row r="133">
      <c r="E133" s="12">
        <f>IF(OR(NOT(ISNUMBER($C133)),$A134=""),"",$C133+N($E132))</f>
      </c>
      <c r="F133" s="13">
        <f>IF(NOT(ISNUMBER($E133)),"",IF($E133-$C133&lt;0.8,"A",IF($E133-$C133&lt;0.95,"B","C")))</f>
      </c>
    </row>
    <row r="134">
      <c r="E134" s="12">
        <f>IF(OR(NOT(ISNUMBER($C134)),$A135=""),"",$C134+N($E133))</f>
      </c>
      <c r="F134" s="13">
        <f>IF(NOT(ISNUMBER($E134)),"",IF($E134-$C134&lt;0.8,"A",IF($E134-$C134&lt;0.95,"B","C")))</f>
      </c>
    </row>
    <row r="135">
      <c r="E135" s="12">
        <f>IF(OR(NOT(ISNUMBER($C135)),$A136=""),"",$C135+N($E134))</f>
      </c>
      <c r="F135" s="13">
        <f>IF(NOT(ISNUMBER($E135)),"",IF($E135-$C135&lt;0.8,"A",IF($E135-$C135&lt;0.95,"B","C")))</f>
      </c>
    </row>
    <row r="136">
      <c r="E136" s="12">
        <f>IF(OR(NOT(ISNUMBER($C136)),$A137=""),"",$C136+N($E135))</f>
      </c>
      <c r="F136" s="13">
        <f>IF(NOT(ISNUMBER($E136)),"",IF($E136-$C136&lt;0.8,"A",IF($E136-$C136&lt;0.95,"B","C")))</f>
      </c>
    </row>
    <row r="137">
      <c r="E137" s="12">
        <f>IF(OR(NOT(ISNUMBER($C137)),$A138=""),"",$C137+N($E136))</f>
      </c>
      <c r="F137" s="13">
        <f>IF(NOT(ISNUMBER($E137)),"",IF($E137-$C137&lt;0.8,"A",IF($E137-$C137&lt;0.95,"B","C")))</f>
      </c>
    </row>
    <row r="138">
      <c r="E138" s="12">
        <f>IF(OR(NOT(ISNUMBER($C138)),$A139=""),"",$C138+N($E137))</f>
      </c>
      <c r="F138" s="13">
        <f>IF(NOT(ISNUMBER($E138)),"",IF($E138-$C138&lt;0.8,"A",IF($E138-$C138&lt;0.95,"B","C")))</f>
      </c>
    </row>
    <row r="139">
      <c r="E139" s="12">
        <f>IF(OR(NOT(ISNUMBER($C139)),$A140=""),"",$C139+N($E138))</f>
      </c>
      <c r="F139" s="13">
        <f>IF(NOT(ISNUMBER($E139)),"",IF($E139-$C139&lt;0.8,"A",IF($E139-$C139&lt;0.95,"B","C")))</f>
      </c>
    </row>
    <row r="140">
      <c r="E140" s="12">
        <f>IF(OR(NOT(ISNUMBER($C140)),$A141=""),"",$C140+N($E139))</f>
      </c>
      <c r="F140" s="13">
        <f>IF(NOT(ISNUMBER($E140)),"",IF($E140-$C140&lt;0.8,"A",IF($E140-$C140&lt;0.95,"B","C")))</f>
      </c>
    </row>
    <row r="141">
      <c r="E141" s="12">
        <f>IF(OR(NOT(ISNUMBER($C141)),$A142=""),"",$C141+N($E140))</f>
      </c>
      <c r="F141" s="13">
        <f>IF(NOT(ISNUMBER($E141)),"",IF($E141-$C141&lt;0.8,"A",IF($E141-$C141&lt;0.95,"B","C")))</f>
      </c>
    </row>
    <row r="142">
      <c r="E142" s="12">
        <f>IF(OR(NOT(ISNUMBER($C142)),$A143=""),"",$C142+N($E141))</f>
      </c>
      <c r="F142" s="13">
        <f>IF(NOT(ISNUMBER($E142)),"",IF($E142-$C142&lt;0.8,"A",IF($E142-$C142&lt;0.95,"B","C")))</f>
      </c>
    </row>
    <row r="143">
      <c r="E143" s="12">
        <f>IF(OR(NOT(ISNUMBER($C143)),$A144=""),"",$C143+N($E142))</f>
      </c>
      <c r="F143" s="13">
        <f>IF(NOT(ISNUMBER($E143)),"",IF($E143-$C143&lt;0.8,"A",IF($E143-$C143&lt;0.95,"B","C")))</f>
      </c>
    </row>
    <row r="144">
      <c r="E144" s="12">
        <f>IF(OR(NOT(ISNUMBER($C144)),$A145=""),"",$C144+N($E143))</f>
      </c>
      <c r="F144" s="13">
        <f>IF(NOT(ISNUMBER($E144)),"",IF($E144-$C144&lt;0.8,"A",IF($E144-$C144&lt;0.95,"B","C")))</f>
      </c>
    </row>
    <row r="145">
      <c r="E145" s="12">
        <f>IF(OR(NOT(ISNUMBER($C145)),$A146=""),"",$C145+N($E144))</f>
      </c>
      <c r="F145" s="13">
        <f>IF(NOT(ISNUMBER($E145)),"",IF($E145-$C145&lt;0.8,"A",IF($E145-$C145&lt;0.95,"B","C")))</f>
      </c>
    </row>
    <row r="146">
      <c r="E146" s="12">
        <f>IF(OR(NOT(ISNUMBER($C146)),$A147=""),"",$C146+N($E145))</f>
      </c>
      <c r="F146" s="13">
        <f>IF(NOT(ISNUMBER($E146)),"",IF($E146-$C146&lt;0.8,"A",IF($E146-$C146&lt;0.95,"B","C")))</f>
      </c>
    </row>
    <row r="147">
      <c r="E147" s="12">
        <f>IF(OR(NOT(ISNUMBER($C147)),$A148=""),"",$C147+N($E146))</f>
      </c>
      <c r="F147" s="13">
        <f>IF(NOT(ISNUMBER($E147)),"",IF($E147-$C147&lt;0.8,"A",IF($E147-$C147&lt;0.95,"B","C")))</f>
      </c>
    </row>
    <row r="148">
      <c r="E148" s="12">
        <f>IF(OR(NOT(ISNUMBER($C148)),$A149=""),"",$C148+N($E147))</f>
      </c>
      <c r="F148" s="13">
        <f>IF(NOT(ISNUMBER($E148)),"",IF($E148-$C148&lt;0.8,"A",IF($E148-$C148&lt;0.95,"B","C")))</f>
      </c>
    </row>
    <row r="149">
      <c r="E149" s="12">
        <f>IF(OR(NOT(ISNUMBER($C149)),$A150=""),"",$C149+N($E148))</f>
      </c>
      <c r="F149" s="13">
        <f>IF(NOT(ISNUMBER($E149)),"",IF($E149-$C149&lt;0.8,"A",IF($E149-$C149&lt;0.95,"B","C")))</f>
      </c>
    </row>
    <row r="150">
      <c r="E150" s="12">
        <f>IF(OR(NOT(ISNUMBER($C150)),$A151=""),"",$C150+N($E149))</f>
      </c>
      <c r="F150" s="13">
        <f>IF(NOT(ISNUMBER($E150)),"",IF($E150-$C150&lt;0.8,"A",IF($E150-$C150&lt;0.95,"B","C")))</f>
      </c>
    </row>
    <row r="151">
      <c r="E151" s="12">
        <f>IF(OR(NOT(ISNUMBER($C151)),$A152=""),"",$C151+N($E150))</f>
      </c>
      <c r="F151" s="13">
        <f>IF(NOT(ISNUMBER($E151)),"",IF($E151-$C151&lt;0.8,"A",IF($E151-$C151&lt;0.95,"B","C")))</f>
      </c>
    </row>
    <row r="152">
      <c r="E152" s="12">
        <f>IF(OR(NOT(ISNUMBER($C152)),$A153=""),"",$C152+N($E151))</f>
      </c>
      <c r="F152" s="13">
        <f>IF(NOT(ISNUMBER($E152)),"",IF($E152-$C152&lt;0.8,"A",IF($E152-$C152&lt;0.95,"B","C")))</f>
      </c>
    </row>
    <row r="153">
      <c r="E153" s="12">
        <f>IF(OR(NOT(ISNUMBER($C153)),$A154=""),"",$C153+N($E152))</f>
      </c>
      <c r="F153" s="13">
        <f>IF(NOT(ISNUMBER($E153)),"",IF($E153-$C153&lt;0.8,"A",IF($E153-$C153&lt;0.95,"B","C")))</f>
      </c>
    </row>
    <row r="154">
      <c r="E154" s="12">
        <f>IF(OR(NOT(ISNUMBER($C154)),$A155=""),"",$C154+N($E153))</f>
      </c>
      <c r="F154" s="13">
        <f>IF(NOT(ISNUMBER($E154)),"",IF($E154-$C154&lt;0.8,"A",IF($E154-$C154&lt;0.95,"B","C")))</f>
      </c>
    </row>
    <row r="155">
      <c r="E155" s="12">
        <f>IF(OR(NOT(ISNUMBER($C155)),$A156=""),"",$C155+N($E154))</f>
      </c>
      <c r="F155" s="13">
        <f>IF(NOT(ISNUMBER($E155)),"",IF($E155-$C155&lt;0.8,"A",IF($E155-$C155&lt;0.95,"B","C")))</f>
      </c>
    </row>
    <row r="156">
      <c r="E156" s="12">
        <f>IF(OR(NOT(ISNUMBER($C156)),$A157=""),"",$C156+N($E155))</f>
      </c>
      <c r="F156" s="13">
        <f>IF(NOT(ISNUMBER($E156)),"",IF($E156-$C156&lt;0.8,"A",IF($E156-$C156&lt;0.95,"B","C")))</f>
      </c>
    </row>
    <row r="157">
      <c r="E157" s="12">
        <f>IF(OR(NOT(ISNUMBER($C157)),$A158=""),"",$C157+N($E156))</f>
      </c>
      <c r="F157" s="13">
        <f>IF(NOT(ISNUMBER($E157)),"",IF($E157-$C157&lt;0.8,"A",IF($E157-$C157&lt;0.95,"B","C")))</f>
      </c>
    </row>
    <row r="158">
      <c r="E158" s="12">
        <f>IF(OR(NOT(ISNUMBER($C158)),$A159=""),"",$C158+N($E157))</f>
      </c>
      <c r="F158" s="13">
        <f>IF(NOT(ISNUMBER($E158)),"",IF($E158-$C158&lt;0.8,"A",IF($E158-$C158&lt;0.95,"B","C")))</f>
      </c>
    </row>
    <row r="159">
      <c r="E159" s="12">
        <f>IF(OR(NOT(ISNUMBER($C159)),$A160=""),"",$C159+N($E158))</f>
      </c>
      <c r="F159" s="13">
        <f>IF(NOT(ISNUMBER($E159)),"",IF($E159-$C159&lt;0.8,"A",IF($E159-$C159&lt;0.95,"B","C")))</f>
      </c>
    </row>
    <row r="160">
      <c r="E160" s="12">
        <f>IF(OR(NOT(ISNUMBER($C160)),$A161=""),"",$C160+N($E159))</f>
      </c>
      <c r="F160" s="13">
        <f>IF(NOT(ISNUMBER($E160)),"",IF($E160-$C160&lt;0.8,"A",IF($E160-$C160&lt;0.95,"B","C")))</f>
      </c>
    </row>
    <row r="161">
      <c r="E161" s="12">
        <f>IF(OR(NOT(ISNUMBER($C161)),$A162=""),"",$C161+N($E160))</f>
      </c>
      <c r="F161" s="13">
        <f>IF(NOT(ISNUMBER($E161)),"",IF($E161-$C161&lt;0.8,"A",IF($E161-$C161&lt;0.95,"B","C")))</f>
      </c>
    </row>
    <row r="162">
      <c r="E162" s="12">
        <f>IF(OR(NOT(ISNUMBER($C162)),$A163=""),"",$C162+N($E161))</f>
      </c>
      <c r="F162" s="13">
        <f>IF(NOT(ISNUMBER($E162)),"",IF($E162-$C162&lt;0.8,"A",IF($E162-$C162&lt;0.95,"B","C")))</f>
      </c>
    </row>
    <row r="163">
      <c r="E163" s="12">
        <f>IF(OR(NOT(ISNUMBER($C163)),$A164=""),"",$C163+N($E162))</f>
      </c>
      <c r="F163" s="13">
        <f>IF(NOT(ISNUMBER($E163)),"",IF($E163-$C163&lt;0.8,"A",IF($E163-$C163&lt;0.95,"B","C")))</f>
      </c>
    </row>
    <row r="164">
      <c r="E164" s="12">
        <f>IF(OR(NOT(ISNUMBER($C164)),$A165=""),"",$C164+N($E163))</f>
      </c>
      <c r="F164" s="13">
        <f>IF(NOT(ISNUMBER($E164)),"",IF($E164-$C164&lt;0.8,"A",IF($E164-$C164&lt;0.95,"B","C")))</f>
      </c>
    </row>
    <row r="165">
      <c r="E165" s="12">
        <f>IF(OR(NOT(ISNUMBER($C165)),$A166=""),"",$C165+N($E164))</f>
      </c>
      <c r="F165" s="13">
        <f>IF(NOT(ISNUMBER($E165)),"",IF($E165-$C165&lt;0.8,"A",IF($E165-$C165&lt;0.95,"B","C")))</f>
      </c>
    </row>
    <row r="166">
      <c r="E166" s="12">
        <f>IF(OR(NOT(ISNUMBER($C166)),$A167=""),"",$C166+N($E165))</f>
      </c>
      <c r="F166" s="13">
        <f>IF(NOT(ISNUMBER($E166)),"",IF($E166-$C166&lt;0.8,"A",IF($E166-$C166&lt;0.95,"B","C")))</f>
      </c>
    </row>
    <row r="167">
      <c r="E167" s="12">
        <f>IF(OR(NOT(ISNUMBER($C167)),$A168=""),"",$C167+N($E166))</f>
      </c>
      <c r="F167" s="13">
        <f>IF(NOT(ISNUMBER($E167)),"",IF($E167-$C167&lt;0.8,"A",IF($E167-$C167&lt;0.95,"B","C")))</f>
      </c>
    </row>
    <row r="168">
      <c r="E168" s="12">
        <f>IF(OR(NOT(ISNUMBER($C168)),$A169=""),"",$C168+N($E167))</f>
      </c>
      <c r="F168" s="13">
        <f>IF(NOT(ISNUMBER($E168)),"",IF($E168-$C168&lt;0.8,"A",IF($E168-$C168&lt;0.95,"B","C")))</f>
      </c>
    </row>
    <row r="169">
      <c r="E169" s="12">
        <f>IF(OR(NOT(ISNUMBER($C169)),$A170=""),"",$C169+N($E168))</f>
      </c>
      <c r="F169" s="13">
        <f>IF(NOT(ISNUMBER($E169)),"",IF($E169-$C169&lt;0.8,"A",IF($E169-$C169&lt;0.95,"B","C")))</f>
      </c>
    </row>
    <row r="170">
      <c r="E170" s="12">
        <f>IF(OR(NOT(ISNUMBER($C170)),$A171=""),"",$C170+N($E169))</f>
      </c>
      <c r="F170" s="13">
        <f>IF(NOT(ISNUMBER($E170)),"",IF($E170-$C170&lt;0.8,"A",IF($E170-$C170&lt;0.95,"B","C")))</f>
      </c>
    </row>
    <row r="171">
      <c r="E171" s="12">
        <f>IF(OR(NOT(ISNUMBER($C171)),$A172=""),"",$C171+N($E170))</f>
      </c>
      <c r="F171" s="13">
        <f>IF(NOT(ISNUMBER($E171)),"",IF($E171-$C171&lt;0.8,"A",IF($E171-$C171&lt;0.95,"B","C")))</f>
      </c>
    </row>
    <row r="172">
      <c r="E172" s="12">
        <f>IF(OR(NOT(ISNUMBER($C172)),$A173=""),"",$C172+N($E171))</f>
      </c>
      <c r="F172" s="13">
        <f>IF(NOT(ISNUMBER($E172)),"",IF($E172-$C172&lt;0.8,"A",IF($E172-$C172&lt;0.95,"B","C")))</f>
      </c>
    </row>
    <row r="173">
      <c r="E173" s="12">
        <f>IF(OR(NOT(ISNUMBER($C173)),$A174=""),"",$C173+N($E172))</f>
      </c>
      <c r="F173" s="13">
        <f>IF(NOT(ISNUMBER($E173)),"",IF($E173-$C173&lt;0.8,"A",IF($E173-$C173&lt;0.95,"B","C")))</f>
      </c>
    </row>
    <row r="174">
      <c r="E174" s="12">
        <f>IF(OR(NOT(ISNUMBER($C174)),$A175=""),"",$C174+N($E173))</f>
      </c>
      <c r="F174" s="13">
        <f>IF(NOT(ISNUMBER($E174)),"",IF($E174-$C174&lt;0.8,"A",IF($E174-$C174&lt;0.95,"B","C")))</f>
      </c>
    </row>
    <row r="175">
      <c r="E175" s="12">
        <f>IF(OR(NOT(ISNUMBER($C175)),$A176=""),"",$C175+N($E174))</f>
      </c>
      <c r="F175" s="13">
        <f>IF(NOT(ISNUMBER($E175)),"",IF($E175-$C175&lt;0.8,"A",IF($E175-$C175&lt;0.95,"B","C")))</f>
      </c>
    </row>
    <row r="176">
      <c r="E176" s="12">
        <f>IF(OR(NOT(ISNUMBER($C176)),$A177=""),"",$C176+N($E175))</f>
      </c>
      <c r="F176" s="13">
        <f>IF(NOT(ISNUMBER($E176)),"",IF($E176-$C176&lt;0.8,"A",IF($E176-$C176&lt;0.95,"B","C")))</f>
      </c>
    </row>
    <row r="177">
      <c r="E177" s="12">
        <f>IF(OR(NOT(ISNUMBER($C177)),$A178=""),"",$C177+N($E176))</f>
      </c>
      <c r="F177" s="13">
        <f>IF(NOT(ISNUMBER($E177)),"",IF($E177-$C177&lt;0.8,"A",IF($E177-$C177&lt;0.95,"B","C")))</f>
      </c>
    </row>
    <row r="178">
      <c r="E178" s="12">
        <f>IF(OR(NOT(ISNUMBER($C178)),$A179=""),"",$C178+N($E177))</f>
      </c>
      <c r="F178" s="13">
        <f>IF(NOT(ISNUMBER($E178)),"",IF($E178-$C178&lt;0.8,"A",IF($E178-$C178&lt;0.95,"B","C")))</f>
      </c>
    </row>
    <row r="179">
      <c r="E179" s="12">
        <f>IF(OR(NOT(ISNUMBER($C179)),$A180=""),"",$C179+N($E178))</f>
      </c>
      <c r="F179" s="13">
        <f>IF(NOT(ISNUMBER($E179)),"",IF($E179-$C179&lt;0.8,"A",IF($E179-$C179&lt;0.95,"B","C")))</f>
      </c>
    </row>
    <row r="180">
      <c r="E180" s="12">
        <f>IF(OR(NOT(ISNUMBER($C180)),$A181=""),"",$C180+N($E179))</f>
      </c>
      <c r="F180" s="13">
        <f>IF(NOT(ISNUMBER($E180)),"",IF($E180-$C180&lt;0.8,"A",IF($E180-$C180&lt;0.95,"B","C")))</f>
      </c>
    </row>
    <row r="181">
      <c r="E181" s="12">
        <f>IF(OR(NOT(ISNUMBER($C181)),$A182=""),"",$C181+N($E180))</f>
      </c>
      <c r="F181" s="13">
        <f>IF(NOT(ISNUMBER($E181)),"",IF($E181-$C181&lt;0.8,"A",IF($E181-$C181&lt;0.95,"B","C")))</f>
      </c>
    </row>
    <row r="182">
      <c r="E182" s="12">
        <f>IF(OR(NOT(ISNUMBER($C182)),$A183=""),"",$C182+N($E181))</f>
      </c>
      <c r="F182" s="13">
        <f>IF(NOT(ISNUMBER($E182)),"",IF($E182-$C182&lt;0.8,"A",IF($E182-$C182&lt;0.95,"B","C")))</f>
      </c>
    </row>
    <row r="183">
      <c r="E183" s="12">
        <f>IF(OR(NOT(ISNUMBER($C183)),$A184=""),"",$C183+N($E182))</f>
      </c>
      <c r="F183" s="13">
        <f>IF(NOT(ISNUMBER($E183)),"",IF($E183-$C183&lt;0.8,"A",IF($E183-$C183&lt;0.95,"B","C")))</f>
      </c>
    </row>
    <row r="184">
      <c r="E184" s="12">
        <f>IF(OR(NOT(ISNUMBER($C184)),$A185=""),"",$C184+N($E183))</f>
      </c>
      <c r="F184" s="13">
        <f>IF(NOT(ISNUMBER($E184)),"",IF($E184-$C184&lt;0.8,"A",IF($E184-$C184&lt;0.95,"B","C")))</f>
      </c>
    </row>
    <row r="185">
      <c r="E185" s="12">
        <f>IF(OR(NOT(ISNUMBER($C185)),$A186=""),"",$C185+N($E184))</f>
      </c>
      <c r="F185" s="13">
        <f>IF(NOT(ISNUMBER($E185)),"",IF($E185-$C185&lt;0.8,"A",IF($E185-$C185&lt;0.95,"B","C")))</f>
      </c>
    </row>
    <row r="186">
      <c r="E186" s="12">
        <f>IF(OR(NOT(ISNUMBER($C186)),$A187=""),"",$C186+N($E185))</f>
      </c>
      <c r="F186" s="13">
        <f>IF(NOT(ISNUMBER($E186)),"",IF($E186-$C186&lt;0.8,"A",IF($E186-$C186&lt;0.95,"B","C")))</f>
      </c>
    </row>
    <row r="187">
      <c r="E187" s="12">
        <f>IF(OR(NOT(ISNUMBER($C187)),$A188=""),"",$C187+N($E186))</f>
      </c>
      <c r="F187" s="13">
        <f>IF(NOT(ISNUMBER($E187)),"",IF($E187-$C187&lt;0.8,"A",IF($E187-$C187&lt;0.95,"B","C")))</f>
      </c>
    </row>
    <row r="188">
      <c r="E188" s="12">
        <f>IF(OR(NOT(ISNUMBER($C188)),$A189=""),"",$C188+N($E187))</f>
      </c>
      <c r="F188" s="13">
        <f>IF(NOT(ISNUMBER($E188)),"",IF($E188-$C188&lt;0.8,"A",IF($E188-$C188&lt;0.95,"B","C")))</f>
      </c>
    </row>
    <row r="189">
      <c r="E189" s="12">
        <f>IF(OR(NOT(ISNUMBER($C189)),$A190=""),"",$C189+N($E188))</f>
      </c>
      <c r="F189" s="13">
        <f>IF(NOT(ISNUMBER($E189)),"",IF($E189-$C189&lt;0.8,"A",IF($E189-$C189&lt;0.95,"B","C")))</f>
      </c>
    </row>
    <row r="190">
      <c r="E190" s="12">
        <f>IF(OR(NOT(ISNUMBER($C190)),$A191=""),"",$C190+N($E189))</f>
      </c>
      <c r="F190" s="13">
        <f>IF(NOT(ISNUMBER($E190)),"",IF($E190-$C190&lt;0.8,"A",IF($E190-$C190&lt;0.95,"B","C")))</f>
      </c>
    </row>
    <row r="191">
      <c r="E191" s="12">
        <f>IF(OR(NOT(ISNUMBER($C191)),$A192=""),"",$C191+N($E190))</f>
      </c>
      <c r="F191" s="13">
        <f>IF(NOT(ISNUMBER($E191)),"",IF($E191-$C191&lt;0.8,"A",IF($E191-$C191&lt;0.95,"B","C")))</f>
      </c>
    </row>
    <row r="192">
      <c r="E192" s="12">
        <f>IF(OR(NOT(ISNUMBER($C192)),$A193=""),"",$C192+N($E191))</f>
      </c>
      <c r="F192" s="13">
        <f>IF(NOT(ISNUMBER($E192)),"",IF($E192-$C192&lt;0.8,"A",IF($E192-$C192&lt;0.95,"B","C")))</f>
      </c>
    </row>
    <row r="193">
      <c r="E193" s="12">
        <f>IF(OR(NOT(ISNUMBER($C193)),$A194=""),"",$C193+N($E192))</f>
      </c>
      <c r="F193" s="13">
        <f>IF(NOT(ISNUMBER($E193)),"",IF($E193-$C193&lt;0.8,"A",IF($E193-$C193&lt;0.95,"B","C")))</f>
      </c>
    </row>
    <row r="194">
      <c r="E194" s="12">
        <f>IF(OR(NOT(ISNUMBER($C194)),$A195=""),"",$C194+N($E193))</f>
      </c>
      <c r="F194" s="13">
        <f>IF(NOT(ISNUMBER($E194)),"",IF($E194-$C194&lt;0.8,"A",IF($E194-$C194&lt;0.95,"B","C")))</f>
      </c>
    </row>
    <row r="195">
      <c r="E195" s="12">
        <f>IF(OR(NOT(ISNUMBER($C195)),$A196=""),"",$C195+N($E194))</f>
      </c>
      <c r="F195" s="13">
        <f>IF(NOT(ISNUMBER($E195)),"",IF($E195-$C195&lt;0.8,"A",IF($E195-$C195&lt;0.95,"B","C")))</f>
      </c>
    </row>
    <row r="196">
      <c r="E196" s="12">
        <f>IF(OR(NOT(ISNUMBER($C196)),$A197=""),"",$C196+N($E195))</f>
      </c>
      <c r="F196" s="13">
        <f>IF(NOT(ISNUMBER($E196)),"",IF($E196-$C196&lt;0.8,"A",IF($E196-$C196&lt;0.95,"B","C")))</f>
      </c>
    </row>
    <row r="197">
      <c r="E197" s="12">
        <f>IF(OR(NOT(ISNUMBER($C197)),$A198=""),"",$C197+N($E196))</f>
      </c>
      <c r="F197" s="13">
        <f>IF(NOT(ISNUMBER($E197)),"",IF($E197-$C197&lt;0.8,"A",IF($E197-$C197&lt;0.95,"B","C")))</f>
      </c>
    </row>
    <row r="198">
      <c r="E198" s="12">
        <f>IF(OR(NOT(ISNUMBER($C198)),$A199=""),"",$C198+N($E197))</f>
      </c>
      <c r="F198" s="13">
        <f>IF(NOT(ISNUMBER($E198)),"",IF($E198-$C198&lt;0.8,"A",IF($E198-$C198&lt;0.95,"B","C")))</f>
      </c>
    </row>
    <row r="199">
      <c r="E199" s="12">
        <f>IF(OR(NOT(ISNUMBER($C199)),$A200=""),"",$C199+N($E198))</f>
      </c>
      <c r="F199" s="13">
        <f>IF(NOT(ISNUMBER($E199)),"",IF($E199-$C199&lt;0.8,"A",IF($E199-$C199&lt;0.95,"B","C")))</f>
      </c>
    </row>
    <row r="200">
      <c r="E200" s="12">
        <f>IF(OR(NOT(ISNUMBER($C200)),$A201=""),"",$C200+N($E199))</f>
      </c>
      <c r="F200" s="13">
        <f>IF(NOT(ISNUMBER($E200)),"",IF($E200-$C200&lt;0.8,"A",IF($E200-$C200&lt;0.95,"B","C")))</f>
      </c>
    </row>
    <row r="201">
      <c r="E201" s="12">
        <f>IF(OR(NOT(ISNUMBER($C201)),$A202=""),"",$C201+N($E200))</f>
      </c>
      <c r="F201" s="13">
        <f>IF(NOT(ISNUMBER($E201)),"",IF($E201-$C201&lt;0.8,"A",IF($E201-$C201&lt;0.95,"B","C")))</f>
      </c>
    </row>
    <row r="202">
      <c r="E202" s="12">
        <f>IF(OR(NOT(ISNUMBER($C202)),$A203=""),"",$C202+N($E201))</f>
      </c>
      <c r="F202" s="13">
        <f>IF(NOT(ISNUMBER($E202)),"",IF($E202-$C202&lt;0.8,"A",IF($E202-$C202&lt;0.95,"B","C")))</f>
      </c>
    </row>
    <row r="203">
      <c r="E203" s="12">
        <f>IF(OR(NOT(ISNUMBER($C203)),$A204=""),"",$C203+N($E202))</f>
      </c>
      <c r="F203" s="13">
        <f>IF(NOT(ISNUMBER($E203)),"",IF($E203-$C203&lt;0.8,"A",IF($E203-$C203&lt;0.95,"B","C")))</f>
      </c>
    </row>
    <row r="204">
      <c r="E204" s="12">
        <f>IF(OR(NOT(ISNUMBER($C204)),$A205=""),"",$C204+N($E203))</f>
      </c>
      <c r="F204" s="13">
        <f>IF(NOT(ISNUMBER($E204)),"",IF($E204-$C204&lt;0.8,"A",IF($E204-$C204&lt;0.95,"B","C")))</f>
      </c>
    </row>
    <row r="205">
      <c r="E205" s="12">
        <f>IF(OR(NOT(ISNUMBER($C205)),$A206=""),"",$C205+N($E204))</f>
      </c>
      <c r="F205" s="13">
        <f>IF(NOT(ISNUMBER($E205)),"",IF($E205-$C205&lt;0.8,"A",IF($E205-$C205&lt;0.95,"B","C")))</f>
      </c>
    </row>
    <row r="206">
      <c r="E206" s="12">
        <f>IF(OR(NOT(ISNUMBER($C206)),$A207=""),"",$C206+N($E205))</f>
      </c>
      <c r="F206" s="13">
        <f>IF(NOT(ISNUMBER($E206)),"",IF($E206-$C206&lt;0.8,"A",IF($E206-$C206&lt;0.95,"B","C")))</f>
      </c>
    </row>
    <row r="207">
      <c r="E207" s="12">
        <f>IF(OR(NOT(ISNUMBER($C207)),$A208=""),"",$C207+N($E206))</f>
      </c>
      <c r="F207" s="13">
        <f>IF(NOT(ISNUMBER($E207)),"",IF($E207-$C207&lt;0.8,"A",IF($E207-$C207&lt;0.95,"B","C")))</f>
      </c>
    </row>
    <row r="208">
      <c r="E208" s="12">
        <f>IF(OR(NOT(ISNUMBER($C208)),$A209=""),"",$C208+N($E207))</f>
      </c>
      <c r="F208" s="13">
        <f>IF(NOT(ISNUMBER($E208)),"",IF($E208-$C208&lt;0.8,"A",IF($E208-$C208&lt;0.95,"B","C")))</f>
      </c>
    </row>
    <row r="209">
      <c r="E209" s="12">
        <f>IF(OR(NOT(ISNUMBER($C209)),$A210=""),"",$C209+N($E208))</f>
      </c>
      <c r="F209" s="13">
        <f>IF(NOT(ISNUMBER($E209)),"",IF($E209-$C209&lt;0.8,"A",IF($E209-$C209&lt;0.95,"B","C")))</f>
      </c>
    </row>
    <row r="210">
      <c r="E210" s="12">
        <f>IF(OR(NOT(ISNUMBER($C210)),$A211=""),"",$C210+N($E209))</f>
      </c>
      <c r="F210" s="13">
        <f>IF(NOT(ISNUMBER($E210)),"",IF($E210-$C210&lt;0.8,"A",IF($E210-$C210&lt;0.95,"B","C")))</f>
      </c>
    </row>
    <row r="211">
      <c r="E211" s="12">
        <f>IF(OR(NOT(ISNUMBER($C211)),$A212=""),"",$C211+N($E210))</f>
      </c>
      <c r="F211" s="13">
        <f>IF(NOT(ISNUMBER($E211)),"",IF($E211-$C211&lt;0.8,"A",IF($E211-$C211&lt;0.95,"B","C")))</f>
      </c>
    </row>
    <row r="212">
      <c r="E212" s="12">
        <f>IF(OR(NOT(ISNUMBER($C212)),$A213=""),"",$C212+N($E211))</f>
      </c>
      <c r="F212" s="13">
        <f>IF(NOT(ISNUMBER($E212)),"",IF($E212-$C212&lt;0.8,"A",IF($E212-$C212&lt;0.95,"B","C")))</f>
      </c>
    </row>
    <row r="213">
      <c r="E213" s="12">
        <f>IF(OR(NOT(ISNUMBER($C213)),$A214=""),"",$C213+N($E212))</f>
      </c>
      <c r="F213" s="13">
        <f>IF(NOT(ISNUMBER($E213)),"",IF($E213-$C213&lt;0.8,"A",IF($E213-$C213&lt;0.95,"B","C")))</f>
      </c>
    </row>
    <row r="214">
      <c r="E214" s="12">
        <f>IF(OR(NOT(ISNUMBER($C214)),$A215=""),"",$C214+N($E213))</f>
      </c>
      <c r="F214" s="13">
        <f>IF(NOT(ISNUMBER($E214)),"",IF($E214-$C214&lt;0.8,"A",IF($E214-$C214&lt;0.95,"B","C")))</f>
      </c>
    </row>
    <row r="215">
      <c r="E215" s="12">
        <f>IF(OR(NOT(ISNUMBER($C215)),$A216=""),"",$C215+N($E214))</f>
      </c>
      <c r="F215" s="13">
        <f>IF(NOT(ISNUMBER($E215)),"",IF($E215-$C215&lt;0.8,"A",IF($E215-$C215&lt;0.95,"B","C")))</f>
      </c>
    </row>
    <row r="216">
      <c r="E216" s="12">
        <f>IF(OR(NOT(ISNUMBER($C216)),$A217=""),"",$C216+N($E215))</f>
      </c>
      <c r="F216" s="13">
        <f>IF(NOT(ISNUMBER($E216)),"",IF($E216-$C216&lt;0.8,"A",IF($E216-$C216&lt;0.95,"B","C")))</f>
      </c>
    </row>
    <row r="217">
      <c r="E217" s="12">
        <f>IF(OR(NOT(ISNUMBER($C217)),$A218=""),"",$C217+N($E216))</f>
      </c>
      <c r="F217" s="13">
        <f>IF(NOT(ISNUMBER($E217)),"",IF($E217-$C217&lt;0.8,"A",IF($E217-$C217&lt;0.95,"B","C")))</f>
      </c>
    </row>
    <row r="218">
      <c r="E218" s="12">
        <f>IF(OR(NOT(ISNUMBER($C218)),$A219=""),"",$C218+N($E217))</f>
      </c>
      <c r="F218" s="13">
        <f>IF(NOT(ISNUMBER($E218)),"",IF($E218-$C218&lt;0.8,"A",IF($E218-$C218&lt;0.95,"B","C")))</f>
      </c>
    </row>
    <row r="219">
      <c r="E219" s="12">
        <f>IF(OR(NOT(ISNUMBER($C219)),$A220=""),"",$C219+N($E218))</f>
      </c>
      <c r="F219" s="13">
        <f>IF(NOT(ISNUMBER($E219)),"",IF($E219-$C219&lt;0.8,"A",IF($E219-$C219&lt;0.95,"B","C")))</f>
      </c>
    </row>
    <row r="220">
      <c r="E220" s="12">
        <f>IF(OR(NOT(ISNUMBER($C220)),$A221=""),"",$C220+N($E219))</f>
      </c>
      <c r="F220" s="13">
        <f>IF(NOT(ISNUMBER($E220)),"",IF($E220-$C220&lt;0.8,"A",IF($E220-$C220&lt;0.95,"B","C")))</f>
      </c>
    </row>
    <row r="221">
      <c r="E221" s="12">
        <f>IF(OR(NOT(ISNUMBER($C221)),$A222=""),"",$C221+N($E220))</f>
      </c>
      <c r="F221" s="13">
        <f>IF(NOT(ISNUMBER($E221)),"",IF($E221-$C221&lt;0.8,"A",IF($E221-$C221&lt;0.95,"B","C")))</f>
      </c>
    </row>
    <row r="222">
      <c r="E222" s="12">
        <f>IF(OR(NOT(ISNUMBER($C222)),$A223=""),"",$C222+N($E221))</f>
      </c>
      <c r="F222" s="13">
        <f>IF(NOT(ISNUMBER($E222)),"",IF($E222-$C222&lt;0.8,"A",IF($E222-$C222&lt;0.95,"B","C")))</f>
      </c>
    </row>
    <row r="223">
      <c r="E223" s="12">
        <f>IF(OR(NOT(ISNUMBER($C223)),$A224=""),"",$C223+N($E222))</f>
      </c>
      <c r="F223" s="13">
        <f>IF(NOT(ISNUMBER($E223)),"",IF($E223-$C223&lt;0.8,"A",IF($E223-$C223&lt;0.95,"B","C")))</f>
      </c>
    </row>
    <row r="224">
      <c r="E224" s="12">
        <f>IF(OR(NOT(ISNUMBER($C224)),$A225=""),"",$C224+N($E223))</f>
      </c>
      <c r="F224" s="13">
        <f>IF(NOT(ISNUMBER($E224)),"",IF($E224-$C224&lt;0.8,"A",IF($E224-$C224&lt;0.95,"B","C")))</f>
      </c>
    </row>
    <row r="225">
      <c r="E225" s="12">
        <f>IF(OR(NOT(ISNUMBER($C225)),$A226=""),"",$C225+N($E224))</f>
      </c>
      <c r="F225" s="13">
        <f>IF(NOT(ISNUMBER($E225)),"",IF($E225-$C225&lt;0.8,"A",IF($E225-$C225&lt;0.95,"B","C")))</f>
      </c>
    </row>
    <row r="226">
      <c r="E226" s="12">
        <f>IF(OR(NOT(ISNUMBER($C226)),$A227=""),"",$C226+N($E225))</f>
      </c>
      <c r="F226" s="13">
        <f>IF(NOT(ISNUMBER($E226)),"",IF($E226-$C226&lt;0.8,"A",IF($E226-$C226&lt;0.95,"B","C")))</f>
      </c>
    </row>
    <row r="227">
      <c r="E227" s="12">
        <f>IF(OR(NOT(ISNUMBER($C227)),$A228=""),"",$C227+N($E226))</f>
      </c>
      <c r="F227" s="13">
        <f>IF(NOT(ISNUMBER($E227)),"",IF($E227-$C227&lt;0.8,"A",IF($E227-$C227&lt;0.95,"B","C")))</f>
      </c>
    </row>
    <row r="228">
      <c r="E228" s="12">
        <f>IF(OR(NOT(ISNUMBER($C228)),$A229=""),"",$C228+N($E227))</f>
      </c>
      <c r="F228" s="13">
        <f>IF(NOT(ISNUMBER($E228)),"",IF($E228-$C228&lt;0.8,"A",IF($E228-$C228&lt;0.95,"B","C")))</f>
      </c>
    </row>
    <row r="229">
      <c r="E229" s="12">
        <f>IF(OR(NOT(ISNUMBER($C229)),$A230=""),"",$C229+N($E228))</f>
      </c>
      <c r="F229" s="13">
        <f>IF(NOT(ISNUMBER($E229)),"",IF($E229-$C229&lt;0.8,"A",IF($E229-$C229&lt;0.95,"B","C")))</f>
      </c>
    </row>
    <row r="230">
      <c r="E230" s="12">
        <f>IF(OR(NOT(ISNUMBER($C230)),$A231=""),"",$C230+N($E229))</f>
      </c>
      <c r="F230" s="13">
        <f>IF(NOT(ISNUMBER($E230)),"",IF($E230-$C230&lt;0.8,"A",IF($E230-$C230&lt;0.95,"B","C")))</f>
      </c>
    </row>
    <row r="231">
      <c r="E231" s="12">
        <f>IF(OR(NOT(ISNUMBER($C231)),$A232=""),"",$C231+N($E230))</f>
      </c>
      <c r="F231" s="13">
        <f>IF(NOT(ISNUMBER($E231)),"",IF($E231-$C231&lt;0.8,"A",IF($E231-$C231&lt;0.95,"B","C")))</f>
      </c>
    </row>
    <row r="232">
      <c r="E232" s="12">
        <f>IF(OR(NOT(ISNUMBER($C232)),$A233=""),"",$C232+N($E231))</f>
      </c>
      <c r="F232" s="13">
        <f>IF(NOT(ISNUMBER($E232)),"",IF($E232-$C232&lt;0.8,"A",IF($E232-$C232&lt;0.95,"B","C")))</f>
      </c>
    </row>
    <row r="233">
      <c r="E233" s="12">
        <f>IF(OR(NOT(ISNUMBER($C233)),$A234=""),"",$C233+N($E232))</f>
      </c>
      <c r="F233" s="13">
        <f>IF(NOT(ISNUMBER($E233)),"",IF($E233-$C233&lt;0.8,"A",IF($E233-$C233&lt;0.95,"B","C")))</f>
      </c>
    </row>
    <row r="234">
      <c r="E234" s="12">
        <f>IF(OR(NOT(ISNUMBER($C234)),$A235=""),"",$C234+N($E233))</f>
      </c>
      <c r="F234" s="13">
        <f>IF(NOT(ISNUMBER($E234)),"",IF($E234-$C234&lt;0.8,"A",IF($E234-$C234&lt;0.95,"B","C")))</f>
      </c>
    </row>
    <row r="235">
      <c r="E235" s="12">
        <f>IF(OR(NOT(ISNUMBER($C235)),$A236=""),"",$C235+N($E234))</f>
      </c>
      <c r="F235" s="13">
        <f>IF(NOT(ISNUMBER($E235)),"",IF($E235-$C235&lt;0.8,"A",IF($E235-$C235&lt;0.95,"B","C")))</f>
      </c>
    </row>
    <row r="236">
      <c r="E236" s="12">
        <f>IF(OR(NOT(ISNUMBER($C236)),$A237=""),"",$C236+N($E235))</f>
      </c>
      <c r="F236" s="13">
        <f>IF(NOT(ISNUMBER($E236)),"",IF($E236-$C236&lt;0.8,"A",IF($E236-$C236&lt;0.95,"B","C")))</f>
      </c>
    </row>
    <row r="237">
      <c r="E237" s="12">
        <f>IF(OR(NOT(ISNUMBER($C237)),$A238=""),"",$C237+N($E236))</f>
      </c>
      <c r="F237" s="13">
        <f>IF(NOT(ISNUMBER($E237)),"",IF($E237-$C237&lt;0.8,"A",IF($E237-$C237&lt;0.95,"B","C")))</f>
      </c>
    </row>
    <row r="238">
      <c r="E238" s="12">
        <f>IF(OR(NOT(ISNUMBER($C238)),$A239=""),"",$C238+N($E237))</f>
      </c>
      <c r="F238" s="13">
        <f>IF(NOT(ISNUMBER($E238)),"",IF($E238-$C238&lt;0.8,"A",IF($E238-$C238&lt;0.95,"B","C")))</f>
      </c>
    </row>
    <row r="239">
      <c r="E239" s="12">
        <f>IF(OR(NOT(ISNUMBER($C239)),$A240=""),"",$C239+N($E238))</f>
      </c>
      <c r="F239" s="13">
        <f>IF(NOT(ISNUMBER($E239)),"",IF($E239-$C239&lt;0.8,"A",IF($E239-$C239&lt;0.95,"B","C")))</f>
      </c>
    </row>
    <row r="240">
      <c r="E240" s="12">
        <f>IF(OR(NOT(ISNUMBER($C240)),$A241=""),"",$C240+N($E239))</f>
      </c>
      <c r="F240" s="13">
        <f>IF(NOT(ISNUMBER($E240)),"",IF($E240-$C240&lt;0.8,"A",IF($E240-$C240&lt;0.95,"B","C")))</f>
      </c>
    </row>
    <row r="241">
      <c r="E241" s="12">
        <f>IF(OR(NOT(ISNUMBER($C241)),$A242=""),"",$C241+N($E240))</f>
      </c>
      <c r="F241" s="13">
        <f>IF(NOT(ISNUMBER($E241)),"",IF($E241-$C241&lt;0.8,"A",IF($E241-$C241&lt;0.95,"B","C")))</f>
      </c>
    </row>
    <row r="242">
      <c r="E242" s="12">
        <f>IF(OR(NOT(ISNUMBER($C242)),$A243=""),"",$C242+N($E241))</f>
      </c>
      <c r="F242" s="13">
        <f>IF(NOT(ISNUMBER($E242)),"",IF($E242-$C242&lt;0.8,"A",IF($E242-$C242&lt;0.95,"B","C")))</f>
      </c>
    </row>
    <row r="243">
      <c r="E243" s="12">
        <f>IF(OR(NOT(ISNUMBER($C243)),$A244=""),"",$C243+N($E242))</f>
      </c>
      <c r="F243" s="13">
        <f>IF(NOT(ISNUMBER($E243)),"",IF($E243-$C243&lt;0.8,"A",IF($E243-$C243&lt;0.95,"B","C")))</f>
      </c>
    </row>
    <row r="244">
      <c r="E244" s="12">
        <f>IF(OR(NOT(ISNUMBER($C244)),$A245=""),"",$C244+N($E243))</f>
      </c>
      <c r="F244" s="13">
        <f>IF(NOT(ISNUMBER($E244)),"",IF($E244-$C244&lt;0.8,"A",IF($E244-$C244&lt;0.95,"B","C")))</f>
      </c>
    </row>
    <row r="245">
      <c r="E245" s="12">
        <f>IF(OR(NOT(ISNUMBER($C245)),$A246=""),"",$C245+N($E244))</f>
      </c>
      <c r="F245" s="13">
        <f>IF(NOT(ISNUMBER($E245)),"",IF($E245-$C245&lt;0.8,"A",IF($E245-$C245&lt;0.95,"B","C")))</f>
      </c>
    </row>
    <row r="246">
      <c r="E246" s="12">
        <f>IF(OR(NOT(ISNUMBER($C246)),$A247=""),"",$C246+N($E245))</f>
      </c>
      <c r="F246" s="13">
        <f>IF(NOT(ISNUMBER($E246)),"",IF($E246-$C246&lt;0.8,"A",IF($E246-$C246&lt;0.95,"B","C")))</f>
      </c>
    </row>
    <row r="247">
      <c r="E247" s="12">
        <f>IF(OR(NOT(ISNUMBER($C247)),$A248=""),"",$C247+N($E246))</f>
      </c>
      <c r="F247" s="13">
        <f>IF(NOT(ISNUMBER($E247)),"",IF($E247-$C247&lt;0.8,"A",IF($E247-$C247&lt;0.95,"B","C")))</f>
      </c>
    </row>
    <row r="248">
      <c r="E248" s="12">
        <f>IF(OR(NOT(ISNUMBER($C248)),$A249=""),"",$C248+N($E247))</f>
      </c>
      <c r="F248" s="13">
        <f>IF(NOT(ISNUMBER($E248)),"",IF($E248-$C248&lt;0.8,"A",IF($E248-$C248&lt;0.95,"B","C")))</f>
      </c>
    </row>
    <row r="249">
      <c r="E249" s="12">
        <f>IF(OR(NOT(ISNUMBER($C249)),$A250=""),"",$C249+N($E248))</f>
      </c>
      <c r="F249" s="13">
        <f>IF(NOT(ISNUMBER($E249)),"",IF($E249-$C249&lt;0.8,"A",IF($E249-$C249&lt;0.95,"B","C")))</f>
      </c>
    </row>
    <row r="250">
      <c r="E250" s="12">
        <f>IF(OR(NOT(ISNUMBER($C250)),$A251=""),"",$C250+N($E249))</f>
      </c>
      <c r="F250" s="13">
        <f>IF(NOT(ISNUMBER($E250)),"",IF($E250-$C250&lt;0.8,"A",IF($E250-$C250&lt;0.95,"B","C")))</f>
      </c>
    </row>
    <row r="251">
      <c r="E251" s="12">
        <f>IF(OR(NOT(ISNUMBER($C251)),$A252=""),"",$C251+N($E250))</f>
      </c>
      <c r="F251" s="13">
        <f>IF(NOT(ISNUMBER($E251)),"",IF($E251-$C251&lt;0.8,"A",IF($E251-$C251&lt;0.95,"B","C")))</f>
      </c>
    </row>
    <row r="252">
      <c r="E252" s="12">
        <f>IF(OR(NOT(ISNUMBER($C252)),$A253=""),"",$C252+N($E251))</f>
      </c>
      <c r="F252" s="13">
        <f>IF(NOT(ISNUMBER($E252)),"",IF($E252-$C252&lt;0.8,"A",IF($E252-$C252&lt;0.95,"B","C")))</f>
      </c>
    </row>
    <row r="253">
      <c r="E253" s="12">
        <f>IF(OR(NOT(ISNUMBER($C253)),$A254=""),"",$C253+N($E252))</f>
      </c>
      <c r="F253" s="13">
        <f>IF(NOT(ISNUMBER($E253)),"",IF($E253-$C253&lt;0.8,"A",IF($E253-$C253&lt;0.95,"B","C")))</f>
      </c>
    </row>
    <row r="254">
      <c r="E254" s="12">
        <f>IF(OR(NOT(ISNUMBER($C254)),$A255=""),"",$C254+N($E253))</f>
      </c>
      <c r="F254" s="13">
        <f>IF(NOT(ISNUMBER($E254)),"",IF($E254-$C254&lt;0.8,"A",IF($E254-$C254&lt;0.95,"B","C")))</f>
      </c>
    </row>
    <row r="255">
      <c r="E255" s="12">
        <f>IF(OR(NOT(ISNUMBER($C255)),$A256=""),"",$C255+N($E254))</f>
      </c>
      <c r="F255" s="13">
        <f>IF(NOT(ISNUMBER($E255)),"",IF($E255-$C255&lt;0.8,"A",IF($E255-$C255&lt;0.95,"B","C")))</f>
      </c>
    </row>
    <row r="256">
      <c r="E256" s="12">
        <f>IF(OR(NOT(ISNUMBER($C256)),$A257=""),"",$C256+N($E255))</f>
      </c>
      <c r="F256" s="13">
        <f>IF(NOT(ISNUMBER($E256)),"",IF($E256-$C256&lt;0.8,"A",IF($E256-$C256&lt;0.95,"B","C")))</f>
      </c>
    </row>
    <row r="257">
      <c r="E257" s="12">
        <f>IF(OR(NOT(ISNUMBER($C257)),$A258=""),"",$C257+N($E256))</f>
      </c>
      <c r="F257" s="13">
        <f>IF(NOT(ISNUMBER($E257)),"",IF($E257-$C257&lt;0.8,"A",IF($E257-$C257&lt;0.95,"B","C")))</f>
      </c>
    </row>
    <row r="258">
      <c r="E258" s="12">
        <f>IF(OR(NOT(ISNUMBER($C258)),$A259=""),"",$C258+N($E257))</f>
      </c>
      <c r="F258" s="13">
        <f>IF(NOT(ISNUMBER($E258)),"",IF($E258-$C258&lt;0.8,"A",IF($E258-$C258&lt;0.95,"B","C")))</f>
      </c>
    </row>
    <row r="259">
      <c r="E259" s="12">
        <f>IF(OR(NOT(ISNUMBER($C259)),$A260=""),"",$C259+N($E258))</f>
      </c>
      <c r="F259" s="13">
        <f>IF(NOT(ISNUMBER($E259)),"",IF($E259-$C259&lt;0.8,"A",IF($E259-$C259&lt;0.95,"B","C")))</f>
      </c>
    </row>
    <row r="260">
      <c r="E260" s="12">
        <f>IF(OR(NOT(ISNUMBER($C260)),$A261=""),"",$C260+N($E259))</f>
      </c>
      <c r="F260" s="13">
        <f>IF(NOT(ISNUMBER($E260)),"",IF($E260-$C260&lt;0.8,"A",IF($E260-$C260&lt;0.95,"B","C")))</f>
      </c>
    </row>
    <row r="261">
      <c r="E261" s="12">
        <f>IF(OR(NOT(ISNUMBER($C261)),$A262=""),"",$C261+N($E260))</f>
      </c>
      <c r="F261" s="13">
        <f>IF(NOT(ISNUMBER($E261)),"",IF($E261-$C261&lt;0.8,"A",IF($E261-$C261&lt;0.95,"B","C")))</f>
      </c>
    </row>
    <row r="262">
      <c r="E262" s="12">
        <f>IF(OR(NOT(ISNUMBER($C262)),$A263=""),"",$C262+N($E261))</f>
      </c>
      <c r="F262" s="13">
        <f>IF(NOT(ISNUMBER($E262)),"",IF($E262-$C262&lt;0.8,"A",IF($E262-$C262&lt;0.95,"B","C")))</f>
      </c>
    </row>
    <row r="263">
      <c r="E263" s="12">
        <f>IF(OR(NOT(ISNUMBER($C263)),$A264=""),"",$C263+N($E262))</f>
      </c>
      <c r="F263" s="13">
        <f>IF(NOT(ISNUMBER($E263)),"",IF($E263-$C263&lt;0.8,"A",IF($E263-$C263&lt;0.95,"B","C")))</f>
      </c>
    </row>
    <row r="264">
      <c r="E264" s="12">
        <f>IF(OR(NOT(ISNUMBER($C264)),$A265=""),"",$C264+N($E263))</f>
      </c>
      <c r="F264" s="13">
        <f>IF(NOT(ISNUMBER($E264)),"",IF($E264-$C264&lt;0.8,"A",IF($E264-$C264&lt;0.95,"B","C")))</f>
      </c>
    </row>
    <row r="265">
      <c r="E265" s="12">
        <f>IF(OR(NOT(ISNUMBER($C265)),$A266=""),"",$C265+N($E264))</f>
      </c>
      <c r="F265" s="13">
        <f>IF(NOT(ISNUMBER($E265)),"",IF($E265-$C265&lt;0.8,"A",IF($E265-$C265&lt;0.95,"B","C")))</f>
      </c>
    </row>
    <row r="266">
      <c r="E266" s="12">
        <f>IF(OR(NOT(ISNUMBER($C266)),$A267=""),"",$C266+N($E265))</f>
      </c>
      <c r="F266" s="13">
        <f>IF(NOT(ISNUMBER($E266)),"",IF($E266-$C266&lt;0.8,"A",IF($E266-$C266&lt;0.95,"B","C")))</f>
      </c>
    </row>
    <row r="267">
      <c r="E267" s="12">
        <f>IF(OR(NOT(ISNUMBER($C267)),$A268=""),"",$C267+N($E266))</f>
      </c>
      <c r="F267" s="13">
        <f>IF(NOT(ISNUMBER($E267)),"",IF($E267-$C267&lt;0.8,"A",IF($E267-$C267&lt;0.95,"B","C")))</f>
      </c>
    </row>
    <row r="268">
      <c r="E268" s="12">
        <f>IF(OR(NOT(ISNUMBER($C268)),$A269=""),"",$C268+N($E267))</f>
      </c>
      <c r="F268" s="13">
        <f>IF(NOT(ISNUMBER($E268)),"",IF($E268-$C268&lt;0.8,"A",IF($E268-$C268&lt;0.95,"B","C")))</f>
      </c>
    </row>
    <row r="269">
      <c r="E269" s="12">
        <f>IF(OR(NOT(ISNUMBER($C269)),$A270=""),"",$C269+N($E268))</f>
      </c>
      <c r="F269" s="13">
        <f>IF(NOT(ISNUMBER($E269)),"",IF($E269-$C269&lt;0.8,"A",IF($E269-$C269&lt;0.95,"B","C")))</f>
      </c>
    </row>
    <row r="270">
      <c r="E270" s="12">
        <f>IF(OR(NOT(ISNUMBER($C270)),$A271=""),"",$C270+N($E269))</f>
      </c>
      <c r="F270" s="13">
        <f>IF(NOT(ISNUMBER($E270)),"",IF($E270-$C270&lt;0.8,"A",IF($E270-$C270&lt;0.95,"B","C")))</f>
      </c>
    </row>
    <row r="271">
      <c r="E271" s="12">
        <f>IF(OR(NOT(ISNUMBER($C271)),$A272=""),"",$C271+N($E270))</f>
      </c>
      <c r="F271" s="13">
        <f>IF(NOT(ISNUMBER($E271)),"",IF($E271-$C271&lt;0.8,"A",IF($E271-$C271&lt;0.95,"B","C")))</f>
      </c>
    </row>
    <row r="272">
      <c r="E272" s="12">
        <f>IF(OR(NOT(ISNUMBER($C272)),$A273=""),"",$C272+N($E271))</f>
      </c>
      <c r="F272" s="13">
        <f>IF(NOT(ISNUMBER($E272)),"",IF($E272-$C272&lt;0.8,"A",IF($E272-$C272&lt;0.95,"B","C")))</f>
      </c>
    </row>
    <row r="273">
      <c r="E273" s="12">
        <f>IF(OR(NOT(ISNUMBER($C273)),$A274=""),"",$C273+N($E272))</f>
      </c>
      <c r="F273" s="13">
        <f>IF(NOT(ISNUMBER($E273)),"",IF($E273-$C273&lt;0.8,"A",IF($E273-$C273&lt;0.95,"B","C")))</f>
      </c>
    </row>
    <row r="274">
      <c r="E274" s="12">
        <f>IF(OR(NOT(ISNUMBER($C274)),$A275=""),"",$C274+N($E273))</f>
      </c>
      <c r="F274" s="13">
        <f>IF(NOT(ISNUMBER($E274)),"",IF($E274-$C274&lt;0.8,"A",IF($E274-$C274&lt;0.95,"B","C")))</f>
      </c>
    </row>
    <row r="275">
      <c r="E275" s="12">
        <f>IF(OR(NOT(ISNUMBER($C275)),$A276=""),"",$C275+N($E274))</f>
      </c>
      <c r="F275" s="13">
        <f>IF(NOT(ISNUMBER($E275)),"",IF($E275-$C275&lt;0.8,"A",IF($E275-$C275&lt;0.95,"B","C")))</f>
      </c>
    </row>
    <row r="276">
      <c r="E276" s="12">
        <f>IF(OR(NOT(ISNUMBER($C276)),$A277=""),"",$C276+N($E275))</f>
      </c>
      <c r="F276" s="13">
        <f>IF(NOT(ISNUMBER($E276)),"",IF($E276-$C276&lt;0.8,"A",IF($E276-$C276&lt;0.95,"B","C")))</f>
      </c>
    </row>
    <row r="277">
      <c r="E277" s="12">
        <f>IF(OR(NOT(ISNUMBER($C277)),$A278=""),"",$C277+N($E276))</f>
      </c>
      <c r="F277" s="13">
        <f>IF(NOT(ISNUMBER($E277)),"",IF($E277-$C277&lt;0.8,"A",IF($E277-$C277&lt;0.95,"B","C")))</f>
      </c>
    </row>
    <row r="278">
      <c r="E278" s="12">
        <f>IF(OR(NOT(ISNUMBER($C278)),$A279=""),"",$C278+N($E277))</f>
      </c>
      <c r="F278" s="13">
        <f>IF(NOT(ISNUMBER($E278)),"",IF($E278-$C278&lt;0.8,"A",IF($E278-$C278&lt;0.95,"B","C")))</f>
      </c>
    </row>
    <row r="279">
      <c r="E279" s="12">
        <f>IF(OR(NOT(ISNUMBER($C279)),$A280=""),"",$C279+N($E278))</f>
      </c>
      <c r="F279" s="13">
        <f>IF(NOT(ISNUMBER($E279)),"",IF($E279-$C279&lt;0.8,"A",IF($E279-$C279&lt;0.95,"B","C")))</f>
      </c>
    </row>
    <row r="280">
      <c r="E280" s="12">
        <f>IF(OR(NOT(ISNUMBER($C280)),$A281=""),"",$C280+N($E279))</f>
      </c>
      <c r="F280" s="13">
        <f>IF(NOT(ISNUMBER($E280)),"",IF($E280-$C280&lt;0.8,"A",IF($E280-$C280&lt;0.95,"B","C")))</f>
      </c>
    </row>
    <row r="281">
      <c r="E281" s="12">
        <f>IF(OR(NOT(ISNUMBER($C281)),$A282=""),"",$C281+N($E280))</f>
      </c>
      <c r="F281" s="13">
        <f>IF(NOT(ISNUMBER($E281)),"",IF($E281-$C281&lt;0.8,"A",IF($E281-$C281&lt;0.95,"B","C")))</f>
      </c>
    </row>
    <row r="282">
      <c r="E282" s="12">
        <f>IF(OR(NOT(ISNUMBER($C282)),$A283=""),"",$C282+N($E281))</f>
      </c>
      <c r="F282" s="13">
        <f>IF(NOT(ISNUMBER($E282)),"",IF($E282-$C282&lt;0.8,"A",IF($E282-$C282&lt;0.95,"B","C")))</f>
      </c>
    </row>
    <row r="283">
      <c r="E283" s="12">
        <f>IF(OR(NOT(ISNUMBER($C283)),$A284=""),"",$C283+N($E282))</f>
      </c>
      <c r="F283" s="13">
        <f>IF(NOT(ISNUMBER($E283)),"",IF($E283-$C283&lt;0.8,"A",IF($E283-$C283&lt;0.95,"B","C")))</f>
      </c>
    </row>
    <row r="284">
      <c r="E284" s="12">
        <f>IF(OR(NOT(ISNUMBER($C284)),$A285=""),"",$C284+N($E283))</f>
      </c>
      <c r="F284" s="13">
        <f>IF(NOT(ISNUMBER($E284)),"",IF($E284-$C284&lt;0.8,"A",IF($E284-$C284&lt;0.95,"B","C")))</f>
      </c>
    </row>
    <row r="285">
      <c r="E285" s="12">
        <f>IF(OR(NOT(ISNUMBER($C285)),$A286=""),"",$C285+N($E284))</f>
      </c>
      <c r="F285" s="13">
        <f>IF(NOT(ISNUMBER($E285)),"",IF($E285-$C285&lt;0.8,"A",IF($E285-$C285&lt;0.95,"B","C")))</f>
      </c>
    </row>
    <row r="286">
      <c r="E286" s="12">
        <f>IF(OR(NOT(ISNUMBER($C286)),$A287=""),"",$C286+N($E285))</f>
      </c>
      <c r="F286" s="13">
        <f>IF(NOT(ISNUMBER($E286)),"",IF($E286-$C286&lt;0.8,"A",IF($E286-$C286&lt;0.95,"B","C")))</f>
      </c>
    </row>
    <row r="287">
      <c r="E287" s="12">
        <f>IF(OR(NOT(ISNUMBER($C287)),$A288=""),"",$C287+N($E286))</f>
      </c>
      <c r="F287" s="13">
        <f>IF(NOT(ISNUMBER($E287)),"",IF($E287-$C287&lt;0.8,"A",IF($E287-$C287&lt;0.95,"B","C")))</f>
      </c>
    </row>
    <row r="288">
      <c r="E288" s="12">
        <f>IF(OR(NOT(ISNUMBER($C288)),$A289=""),"",$C288+N($E287))</f>
      </c>
      <c r="F288" s="13">
        <f>IF(NOT(ISNUMBER($E288)),"",IF($E288-$C288&lt;0.8,"A",IF($E288-$C288&lt;0.95,"B","C")))</f>
      </c>
    </row>
    <row r="289">
      <c r="E289" s="12">
        <f>IF(OR(NOT(ISNUMBER($C289)),$A290=""),"",$C289+N($E288))</f>
      </c>
      <c r="F289" s="13">
        <f>IF(NOT(ISNUMBER($E289)),"",IF($E289-$C289&lt;0.8,"A",IF($E289-$C289&lt;0.95,"B","C")))</f>
      </c>
    </row>
    <row r="290">
      <c r="E290" s="12">
        <f>IF(OR(NOT(ISNUMBER($C290)),$A291=""),"",$C290+N($E289))</f>
      </c>
      <c r="F290" s="13">
        <f>IF(NOT(ISNUMBER($E290)),"",IF($E290-$C290&lt;0.8,"A",IF($E290-$C290&lt;0.95,"B","C")))</f>
      </c>
    </row>
    <row r="291">
      <c r="E291" s="12">
        <f>IF(OR(NOT(ISNUMBER($C291)),$A292=""),"",$C291+N($E290))</f>
      </c>
      <c r="F291" s="13">
        <f>IF(NOT(ISNUMBER($E291)),"",IF($E291-$C291&lt;0.8,"A",IF($E291-$C291&lt;0.95,"B","C")))</f>
      </c>
    </row>
    <row r="292">
      <c r="E292" s="12">
        <f>IF(OR(NOT(ISNUMBER($C292)),$A293=""),"",$C292+N($E291))</f>
      </c>
      <c r="F292" s="13">
        <f>IF(NOT(ISNUMBER($E292)),"",IF($E292-$C292&lt;0.8,"A",IF($E292-$C292&lt;0.95,"B","C")))</f>
      </c>
    </row>
    <row r="293">
      <c r="E293" s="12">
        <f>IF(OR(NOT(ISNUMBER($C293)),$A294=""),"",$C293+N($E292))</f>
      </c>
      <c r="F293" s="13">
        <f>IF(NOT(ISNUMBER($E293)),"",IF($E293-$C293&lt;0.8,"A",IF($E293-$C293&lt;0.95,"B","C")))</f>
      </c>
    </row>
    <row r="294">
      <c r="E294" s="12">
        <f>IF(OR(NOT(ISNUMBER($C294)),$A295=""),"",$C294+N($E293))</f>
      </c>
      <c r="F294" s="13">
        <f>IF(NOT(ISNUMBER($E294)),"",IF($E294-$C294&lt;0.8,"A",IF($E294-$C294&lt;0.95,"B","C")))</f>
      </c>
    </row>
    <row r="295">
      <c r="E295" s="12">
        <f>IF(OR(NOT(ISNUMBER($C295)),$A296=""),"",$C295+N($E294))</f>
      </c>
      <c r="F295" s="13">
        <f>IF(NOT(ISNUMBER($E295)),"",IF($E295-$C295&lt;0.8,"A",IF($E295-$C295&lt;0.95,"B","C")))</f>
      </c>
    </row>
    <row r="296">
      <c r="E296" s="12">
        <f>IF(OR(NOT(ISNUMBER($C296)),$A297=""),"",$C296+N($E295))</f>
      </c>
      <c r="F296" s="13">
        <f>IF(NOT(ISNUMBER($E296)),"",IF($E296-$C296&lt;0.8,"A",IF($E296-$C296&lt;0.95,"B","C")))</f>
      </c>
    </row>
    <row r="297">
      <c r="E297" s="12">
        <f>IF(OR(NOT(ISNUMBER($C297)),$A298=""),"",$C297+N($E296))</f>
      </c>
      <c r="F297" s="13">
        <f>IF(NOT(ISNUMBER($E297)),"",IF($E297-$C297&lt;0.8,"A",IF($E297-$C297&lt;0.95,"B","C")))</f>
      </c>
    </row>
    <row r="298">
      <c r="E298" s="12">
        <f>IF(OR(NOT(ISNUMBER($C298)),$A299=""),"",$C298+N($E297))</f>
      </c>
      <c r="F298" s="13">
        <f>IF(NOT(ISNUMBER($E298)),"",IF($E298-$C298&lt;0.8,"A",IF($E298-$C298&lt;0.95,"B","C")))</f>
      </c>
    </row>
    <row r="299">
      <c r="E299" s="12">
        <f>IF(OR(NOT(ISNUMBER($C299)),$A300=""),"",$C299+N($E298))</f>
      </c>
      <c r="F299" s="13">
        <f>IF(NOT(ISNUMBER($E299)),"",IF($E299-$C299&lt;0.8,"A",IF($E299-$C299&lt;0.95,"B","C")))</f>
      </c>
    </row>
    <row r="300">
      <c r="E300" s="12">
        <f>IF(OR(NOT(ISNUMBER($C300)),$A301=""),"",$C300+N($E299))</f>
      </c>
      <c r="F300" s="13">
        <f>IF(NOT(ISNUMBER($E300)),"",IF($E300-$C300&lt;0.8,"A",IF($E300-$C300&lt;0.95,"B","C")))</f>
      </c>
    </row>
    <row r="301">
      <c r="E301" s="12">
        <f>IF(OR(NOT(ISNUMBER($C301)),$A302=""),"",$C301+N($E300))</f>
      </c>
      <c r="F301" s="13">
        <f>IF(NOT(ISNUMBER($E301)),"",IF($E301-$C301&lt;0.8,"A",IF($E301-$C301&lt;0.95,"B","C")))</f>
      </c>
    </row>
    <row r="302">
      <c r="E302" s="12">
        <f>IF(OR(NOT(ISNUMBER($C302)),$A303=""),"",$C302+N($E301))</f>
      </c>
      <c r="F302" s="13">
        <f>IF(NOT(ISNUMBER($E302)),"",IF($E302-$C302&lt;0.8,"A",IF($E302-$C302&lt;0.95,"B","C")))</f>
      </c>
    </row>
    <row r="303">
      <c r="E303" s="12">
        <f>IF(OR(NOT(ISNUMBER($C303)),$A304=""),"",$C303+N($E302))</f>
      </c>
      <c r="F303" s="13">
        <f>IF(NOT(ISNUMBER($E303)),"",IF($E303-$C303&lt;0.8,"A",IF($E303-$C303&lt;0.95,"B","C")))</f>
      </c>
    </row>
    <row r="304">
      <c r="E304" s="12">
        <f>IF(OR(NOT(ISNUMBER($C304)),$A305=""),"",$C304+N($E303))</f>
      </c>
      <c r="F304" s="13">
        <f>IF(NOT(ISNUMBER($E304)),"",IF($E304-$C304&lt;0.8,"A",IF($E304-$C304&lt;0.95,"B","C")))</f>
      </c>
    </row>
    <row r="305">
      <c r="E305" s="12">
        <f>IF(OR(NOT(ISNUMBER($C305)),$A306=""),"",$C305+N($E304))</f>
      </c>
      <c r="F305" s="13">
        <f>IF(NOT(ISNUMBER($E305)),"",IF($E305-$C305&lt;0.8,"A",IF($E305-$C305&lt;0.95,"B","C")))</f>
      </c>
    </row>
    <row r="306">
      <c r="E306" s="12">
        <f>IF(OR(NOT(ISNUMBER($C306)),$A307=""),"",$C306+N($E305))</f>
      </c>
      <c r="F306" s="13">
        <f>IF(NOT(ISNUMBER($E306)),"",IF($E306-$C306&lt;0.8,"A",IF($E306-$C306&lt;0.95,"B","C")))</f>
      </c>
    </row>
    <row r="307">
      <c r="E307" s="12">
        <f>IF(OR(NOT(ISNUMBER($C307)),$A308=""),"",$C307+N($E306))</f>
      </c>
      <c r="F307" s="13">
        <f>IF(NOT(ISNUMBER($E307)),"",IF($E307-$C307&lt;0.8,"A",IF($E307-$C307&lt;0.95,"B","C")))</f>
      </c>
    </row>
    <row r="308">
      <c r="E308" s="12">
        <f>IF(OR(NOT(ISNUMBER($C308)),$A309=""),"",$C308+N($E307))</f>
      </c>
      <c r="F308" s="13">
        <f>IF(NOT(ISNUMBER($E308)),"",IF($E308-$C308&lt;0.8,"A",IF($E308-$C308&lt;0.95,"B","C")))</f>
      </c>
    </row>
    <row r="309">
      <c r="E309" s="12">
        <f>IF(OR(NOT(ISNUMBER($C309)),$A310=""),"",$C309+N($E308))</f>
      </c>
      <c r="F309" s="13">
        <f>IF(NOT(ISNUMBER($E309)),"",IF($E309-$C309&lt;0.8,"A",IF($E309-$C309&lt;0.95,"B","C")))</f>
      </c>
    </row>
    <row r="310">
      <c r="E310" s="12">
        <f>IF(OR(NOT(ISNUMBER($C310)),$A311=""),"",$C310+N($E309))</f>
      </c>
      <c r="F310" s="13">
        <f>IF(NOT(ISNUMBER($E310)),"",IF($E310-$C310&lt;0.8,"A",IF($E310-$C310&lt;0.95,"B","C")))</f>
      </c>
    </row>
    <row r="311">
      <c r="E311" s="12">
        <f>IF(OR(NOT(ISNUMBER($C311)),$A312=""),"",$C311+N($E310))</f>
      </c>
      <c r="F311" s="13">
        <f>IF(NOT(ISNUMBER($E311)),"",IF($E311-$C311&lt;0.8,"A",IF($E311-$C311&lt;0.95,"B","C")))</f>
      </c>
    </row>
    <row r="312">
      <c r="E312" s="12">
        <f>IF(OR(NOT(ISNUMBER($C312)),$A313=""),"",$C312+N($E311))</f>
      </c>
      <c r="F312" s="13">
        <f>IF(NOT(ISNUMBER($E312)),"",IF($E312-$C312&lt;0.8,"A",IF($E312-$C312&lt;0.95,"B","C")))</f>
      </c>
    </row>
    <row r="313">
      <c r="E313" s="12">
        <f>IF(OR(NOT(ISNUMBER($C313)),$A314=""),"",$C313+N($E312))</f>
      </c>
      <c r="F313" s="13">
        <f>IF(NOT(ISNUMBER($E313)),"",IF($E313-$C313&lt;0.8,"A",IF($E313-$C313&lt;0.95,"B","C")))</f>
      </c>
    </row>
    <row r="314">
      <c r="E314" s="12">
        <f>IF(OR(NOT(ISNUMBER($C314)),$A315=""),"",$C314+N($E313))</f>
      </c>
      <c r="F314" s="13">
        <f>IF(NOT(ISNUMBER($E314)),"",IF($E314-$C314&lt;0.8,"A",IF($E314-$C314&lt;0.95,"B","C")))</f>
      </c>
    </row>
    <row r="315">
      <c r="E315" s="12">
        <f>IF(OR(NOT(ISNUMBER($C315)),$A316=""),"",$C315+N($E314))</f>
      </c>
      <c r="F315" s="13">
        <f>IF(NOT(ISNUMBER($E315)),"",IF($E315-$C315&lt;0.8,"A",IF($E315-$C315&lt;0.95,"B","C")))</f>
      </c>
    </row>
    <row r="316">
      <c r="E316" s="12">
        <f>IF(OR(NOT(ISNUMBER($C316)),$A317=""),"",$C316+N($E315))</f>
      </c>
      <c r="F316" s="13">
        <f>IF(NOT(ISNUMBER($E316)),"",IF($E316-$C316&lt;0.8,"A",IF($E316-$C316&lt;0.95,"B","C")))</f>
      </c>
    </row>
    <row r="317">
      <c r="E317" s="12">
        <f>IF(OR(NOT(ISNUMBER($C317)),$A318=""),"",$C317+N($E316))</f>
      </c>
      <c r="F317" s="13">
        <f>IF(NOT(ISNUMBER($E317)),"",IF($E317-$C317&lt;0.8,"A",IF($E317-$C317&lt;0.95,"B","C")))</f>
      </c>
    </row>
    <row r="318">
      <c r="E318" s="12">
        <f>IF(OR(NOT(ISNUMBER($C318)),$A319=""),"",$C318+N($E317))</f>
      </c>
      <c r="F318" s="13">
        <f>IF(NOT(ISNUMBER($E318)),"",IF($E318-$C318&lt;0.8,"A",IF($E318-$C318&lt;0.95,"B","C")))</f>
      </c>
    </row>
    <row r="319">
      <c r="E319" s="12">
        <f>IF(OR(NOT(ISNUMBER($C319)),$A320=""),"",$C319+N($E318))</f>
      </c>
      <c r="F319" s="13">
        <f>IF(NOT(ISNUMBER($E319)),"",IF($E319-$C319&lt;0.8,"A",IF($E319-$C319&lt;0.95,"B","C")))</f>
      </c>
    </row>
    <row r="320">
      <c r="E320" s="12">
        <f>IF(OR(NOT(ISNUMBER($C320)),$A321=""),"",$C320+N($E319))</f>
      </c>
      <c r="F320" s="13">
        <f>IF(NOT(ISNUMBER($E320)),"",IF($E320-$C320&lt;0.8,"A",IF($E320-$C320&lt;0.95,"B","C")))</f>
      </c>
    </row>
    <row r="321">
      <c r="E321" s="12">
        <f>IF(OR(NOT(ISNUMBER($C321)),$A322=""),"",$C321+N($E320))</f>
      </c>
      <c r="F321" s="13">
        <f>IF(NOT(ISNUMBER($E321)),"",IF($E321-$C321&lt;0.8,"A",IF($E321-$C321&lt;0.95,"B","C")))</f>
      </c>
    </row>
    <row r="322">
      <c r="E322" s="12">
        <f>IF(OR(NOT(ISNUMBER($C322)),$A323=""),"",$C322+N($E321))</f>
      </c>
      <c r="F322" s="13">
        <f>IF(NOT(ISNUMBER($E322)),"",IF($E322-$C322&lt;0.8,"A",IF($E322-$C322&lt;0.95,"B","C")))</f>
      </c>
    </row>
    <row r="323">
      <c r="E323" s="12">
        <f>IF(OR(NOT(ISNUMBER($C323)),$A324=""),"",$C323+N($E322))</f>
      </c>
      <c r="F323" s="13">
        <f>IF(NOT(ISNUMBER($E323)),"",IF($E323-$C323&lt;0.8,"A",IF($E323-$C323&lt;0.95,"B","C")))</f>
      </c>
    </row>
    <row r="324">
      <c r="E324" s="12">
        <f>IF(OR(NOT(ISNUMBER($C324)),$A325=""),"",$C324+N($E323))</f>
      </c>
      <c r="F324" s="13">
        <f>IF(NOT(ISNUMBER($E324)),"",IF($E324-$C324&lt;0.8,"A",IF($E324-$C324&lt;0.95,"B","C")))</f>
      </c>
    </row>
    <row r="325">
      <c r="E325" s="12">
        <f>IF(OR(NOT(ISNUMBER($C325)),$A326=""),"",$C325+N($E324))</f>
      </c>
      <c r="F325" s="13">
        <f>IF(NOT(ISNUMBER($E325)),"",IF($E325-$C325&lt;0.8,"A",IF($E325-$C325&lt;0.95,"B","C")))</f>
      </c>
    </row>
    <row r="326">
      <c r="E326" s="12">
        <f>IF(OR(NOT(ISNUMBER($C326)),$A327=""),"",$C326+N($E325))</f>
      </c>
      <c r="F326" s="13">
        <f>IF(NOT(ISNUMBER($E326)),"",IF($E326-$C326&lt;0.8,"A",IF($E326-$C326&lt;0.95,"B","C")))</f>
      </c>
    </row>
    <row r="327">
      <c r="E327" s="12">
        <f>IF(OR(NOT(ISNUMBER($C327)),$A328=""),"",$C327+N($E326))</f>
      </c>
      <c r="F327" s="13">
        <f>IF(NOT(ISNUMBER($E327)),"",IF($E327-$C327&lt;0.8,"A",IF($E327-$C327&lt;0.95,"B","C")))</f>
      </c>
    </row>
    <row r="328">
      <c r="E328" s="12">
        <f>IF(OR(NOT(ISNUMBER($C328)),$A329=""),"",$C328+N($E327))</f>
      </c>
      <c r="F328" s="13">
        <f>IF(NOT(ISNUMBER($E328)),"",IF($E328-$C328&lt;0.8,"A",IF($E328-$C328&lt;0.95,"B","C")))</f>
      </c>
    </row>
    <row r="329">
      <c r="E329" s="12">
        <f>IF(OR(NOT(ISNUMBER($C329)),$A330=""),"",$C329+N($E328))</f>
      </c>
      <c r="F329" s="13">
        <f>IF(NOT(ISNUMBER($E329)),"",IF($E329-$C329&lt;0.8,"A",IF($E329-$C329&lt;0.95,"B","C")))</f>
      </c>
    </row>
    <row r="330">
      <c r="E330" s="12">
        <f>IF(OR(NOT(ISNUMBER($C330)),$A331=""),"",$C330+N($E329))</f>
      </c>
      <c r="F330" s="13">
        <f>IF(NOT(ISNUMBER($E330)),"",IF($E330-$C330&lt;0.8,"A",IF($E330-$C330&lt;0.95,"B","C")))</f>
      </c>
    </row>
    <row r="331">
      <c r="E331" s="12">
        <f>IF(OR(NOT(ISNUMBER($C331)),$A332=""),"",$C331+N($E330))</f>
      </c>
      <c r="F331" s="13">
        <f>IF(NOT(ISNUMBER($E331)),"",IF($E331-$C331&lt;0.8,"A",IF($E331-$C331&lt;0.95,"B","C")))</f>
      </c>
    </row>
    <row r="332">
      <c r="E332" s="12">
        <f>IF(OR(NOT(ISNUMBER($C332)),$A333=""),"",$C332+N($E331))</f>
      </c>
      <c r="F332" s="13">
        <f>IF(NOT(ISNUMBER($E332)),"",IF($E332-$C332&lt;0.8,"A",IF($E332-$C332&lt;0.95,"B","C")))</f>
      </c>
    </row>
    <row r="333">
      <c r="E333" s="12">
        <f>IF(OR(NOT(ISNUMBER($C333)),$A334=""),"",$C333+N($E332))</f>
      </c>
      <c r="F333" s="13">
        <f>IF(NOT(ISNUMBER($E333)),"",IF($E333-$C333&lt;0.8,"A",IF($E333-$C333&lt;0.95,"B","C")))</f>
      </c>
    </row>
    <row r="334">
      <c r="E334" s="12">
        <f>IF(OR(NOT(ISNUMBER($C334)),$A335=""),"",$C334+N($E333))</f>
      </c>
      <c r="F334" s="13">
        <f>IF(NOT(ISNUMBER($E334)),"",IF($E334-$C334&lt;0.8,"A",IF($E334-$C334&lt;0.95,"B","C")))</f>
      </c>
    </row>
    <row r="335">
      <c r="E335" s="12">
        <f>IF(OR(NOT(ISNUMBER($C335)),$A336=""),"",$C335+N($E334))</f>
      </c>
      <c r="F335" s="13">
        <f>IF(NOT(ISNUMBER($E335)),"",IF($E335-$C335&lt;0.8,"A",IF($E335-$C335&lt;0.95,"B","C")))</f>
      </c>
    </row>
    <row r="336">
      <c r="E336" s="12">
        <f>IF(OR(NOT(ISNUMBER($C336)),$A337=""),"",$C336+N($E335))</f>
      </c>
      <c r="F336" s="13">
        <f>IF(NOT(ISNUMBER($E336)),"",IF($E336-$C336&lt;0.8,"A",IF($E336-$C336&lt;0.95,"B","C")))</f>
      </c>
    </row>
    <row r="337">
      <c r="E337" s="12">
        <f>IF(OR(NOT(ISNUMBER($C337)),$A338=""),"",$C337+N($E336))</f>
      </c>
      <c r="F337" s="13">
        <f>IF(NOT(ISNUMBER($E337)),"",IF($E337-$C337&lt;0.8,"A",IF($E337-$C337&lt;0.95,"B","C")))</f>
      </c>
    </row>
    <row r="338">
      <c r="E338" s="12">
        <f>IF(OR(NOT(ISNUMBER($C338)),$A339=""),"",$C338+N($E337))</f>
      </c>
      <c r="F338" s="13">
        <f>IF(NOT(ISNUMBER($E338)),"",IF($E338-$C338&lt;0.8,"A",IF($E338-$C338&lt;0.95,"B","C")))</f>
      </c>
    </row>
    <row r="339">
      <c r="E339" s="12">
        <f>IF(OR(NOT(ISNUMBER($C339)),$A340=""),"",$C339+N($E338))</f>
      </c>
      <c r="F339" s="13">
        <f>IF(NOT(ISNUMBER($E339)),"",IF($E339-$C339&lt;0.8,"A",IF($E339-$C339&lt;0.95,"B","C")))</f>
      </c>
    </row>
    <row r="340">
      <c r="E340" s="12">
        <f>IF(OR(NOT(ISNUMBER($C340)),$A341=""),"",$C340+N($E339))</f>
      </c>
      <c r="F340" s="13">
        <f>IF(NOT(ISNUMBER($E340)),"",IF($E340-$C340&lt;0.8,"A",IF($E340-$C340&lt;0.95,"B","C")))</f>
      </c>
    </row>
    <row r="341">
      <c r="E341" s="12">
        <f>IF(OR(NOT(ISNUMBER($C341)),$A342=""),"",$C341+N($E340))</f>
      </c>
      <c r="F341" s="13">
        <f>IF(NOT(ISNUMBER($E341)),"",IF($E341-$C341&lt;0.8,"A",IF($E341-$C341&lt;0.95,"B","C")))</f>
      </c>
    </row>
    <row r="342">
      <c r="E342" s="12">
        <f>IF(OR(NOT(ISNUMBER($C342)),$A343=""),"",$C342+N($E341))</f>
      </c>
      <c r="F342" s="13">
        <f>IF(NOT(ISNUMBER($E342)),"",IF($E342-$C342&lt;0.8,"A",IF($E342-$C342&lt;0.95,"B","C")))</f>
      </c>
    </row>
    <row r="343">
      <c r="E343" s="12">
        <f>IF(OR(NOT(ISNUMBER($C343)),$A344=""),"",$C343+N($E342))</f>
      </c>
      <c r="F343" s="13">
        <f>IF(NOT(ISNUMBER($E343)),"",IF($E343-$C343&lt;0.8,"A",IF($E343-$C343&lt;0.95,"B","C")))</f>
      </c>
    </row>
    <row r="344">
      <c r="E344" s="12">
        <f>IF(OR(NOT(ISNUMBER($C344)),$A345=""),"",$C344+N($E343))</f>
      </c>
      <c r="F344" s="13">
        <f>IF(NOT(ISNUMBER($E344)),"",IF($E344-$C344&lt;0.8,"A",IF($E344-$C344&lt;0.95,"B","C")))</f>
      </c>
    </row>
    <row r="345">
      <c r="E345" s="12">
        <f>IF(OR(NOT(ISNUMBER($C345)),$A346=""),"",$C345+N($E344))</f>
      </c>
      <c r="F345" s="13">
        <f>IF(NOT(ISNUMBER($E345)),"",IF($E345-$C345&lt;0.8,"A",IF($E345-$C345&lt;0.95,"B","C")))</f>
      </c>
    </row>
    <row r="346">
      <c r="E346" s="12">
        <f>IF(OR(NOT(ISNUMBER($C346)),$A347=""),"",$C346+N($E345))</f>
      </c>
      <c r="F346" s="13">
        <f>IF(NOT(ISNUMBER($E346)),"",IF($E346-$C346&lt;0.8,"A",IF($E346-$C346&lt;0.95,"B","C")))</f>
      </c>
    </row>
    <row r="347">
      <c r="E347" s="12">
        <f>IF(OR(NOT(ISNUMBER($C347)),$A348=""),"",$C347+N($E346))</f>
      </c>
      <c r="F347" s="13">
        <f>IF(NOT(ISNUMBER($E347)),"",IF($E347-$C347&lt;0.8,"A",IF($E347-$C347&lt;0.95,"B","C")))</f>
      </c>
    </row>
    <row r="348">
      <c r="E348" s="12">
        <f>IF(OR(NOT(ISNUMBER($C348)),$A349=""),"",$C348+N($E347))</f>
      </c>
      <c r="F348" s="13">
        <f>IF(NOT(ISNUMBER($E348)),"",IF($E348-$C348&lt;0.8,"A",IF($E348-$C348&lt;0.95,"B","C")))</f>
      </c>
    </row>
    <row r="349">
      <c r="E349" s="12">
        <f>IF(OR(NOT(ISNUMBER($C349)),$A350=""),"",$C349+N($E348))</f>
      </c>
      <c r="F349" s="13">
        <f>IF(NOT(ISNUMBER($E349)),"",IF($E349-$C349&lt;0.8,"A",IF($E349-$C349&lt;0.95,"B","C")))</f>
      </c>
    </row>
    <row r="350">
      <c r="E350" s="12">
        <f>IF(OR(NOT(ISNUMBER($C350)),$A351=""),"",$C350+N($E349))</f>
      </c>
      <c r="F350" s="13">
        <f>IF(NOT(ISNUMBER($E350)),"",IF($E350-$C350&lt;0.8,"A",IF($E350-$C350&lt;0.95,"B","C")))</f>
      </c>
    </row>
    <row r="351">
      <c r="E351" s="12">
        <f>IF(OR(NOT(ISNUMBER($C351)),$A352=""),"",$C351+N($E350))</f>
      </c>
      <c r="F351" s="13">
        <f>IF(NOT(ISNUMBER($E351)),"",IF($E351-$C351&lt;0.8,"A",IF($E351-$C351&lt;0.95,"B","C")))</f>
      </c>
    </row>
    <row r="352">
      <c r="E352" s="12">
        <f>IF(OR(NOT(ISNUMBER($C352)),$A353=""),"",$C352+N($E351))</f>
      </c>
      <c r="F352" s="13">
        <f>IF(NOT(ISNUMBER($E352)),"",IF($E352-$C352&lt;0.8,"A",IF($E352-$C352&lt;0.95,"B","C")))</f>
      </c>
    </row>
    <row r="353">
      <c r="E353" s="12">
        <f>IF(OR(NOT(ISNUMBER($C353)),$A354=""),"",$C353+N($E352))</f>
      </c>
      <c r="F353" s="13">
        <f>IF(NOT(ISNUMBER($E353)),"",IF($E353-$C353&lt;0.8,"A",IF($E353-$C353&lt;0.95,"B","C")))</f>
      </c>
    </row>
    <row r="354">
      <c r="E354" s="12">
        <f>IF(OR(NOT(ISNUMBER($C354)),$A355=""),"",$C354+N($E353))</f>
      </c>
      <c r="F354" s="13">
        <f>IF(NOT(ISNUMBER($E354)),"",IF($E354-$C354&lt;0.8,"A",IF($E354-$C354&lt;0.95,"B","C")))</f>
      </c>
    </row>
    <row r="355">
      <c r="E355" s="12">
        <f>IF(OR(NOT(ISNUMBER($C355)),$A356=""),"",$C355+N($E354))</f>
      </c>
      <c r="F355" s="13">
        <f>IF(NOT(ISNUMBER($E355)),"",IF($E355-$C355&lt;0.8,"A",IF($E355-$C355&lt;0.95,"B","C")))</f>
      </c>
    </row>
    <row r="356">
      <c r="E356" s="12">
        <f>IF(OR(NOT(ISNUMBER($C356)),$A357=""),"",$C356+N($E355))</f>
      </c>
      <c r="F356" s="13">
        <f>IF(NOT(ISNUMBER($E356)),"",IF($E356-$C356&lt;0.8,"A",IF($E356-$C356&lt;0.95,"B","C")))</f>
      </c>
    </row>
    <row r="357">
      <c r="E357" s="12">
        <f>IF(OR(NOT(ISNUMBER($C357)),$A358=""),"",$C357+N($E356))</f>
      </c>
      <c r="F357" s="13">
        <f>IF(NOT(ISNUMBER($E357)),"",IF($E357-$C357&lt;0.8,"A",IF($E357-$C357&lt;0.95,"B","C")))</f>
      </c>
    </row>
    <row r="358">
      <c r="E358" s="12">
        <f>IF(OR(NOT(ISNUMBER($C358)),$A359=""),"",$C358+N($E357))</f>
      </c>
      <c r="F358" s="13">
        <f>IF(NOT(ISNUMBER($E358)),"",IF($E358-$C358&lt;0.8,"A",IF($E358-$C358&lt;0.95,"B","C")))</f>
      </c>
    </row>
    <row r="359">
      <c r="E359" s="12">
        <f>IF(OR(NOT(ISNUMBER($C359)),$A360=""),"",$C359+N($E358))</f>
      </c>
      <c r="F359" s="13">
        <f>IF(NOT(ISNUMBER($E359)),"",IF($E359-$C359&lt;0.8,"A",IF($E359-$C359&lt;0.95,"B","C")))</f>
      </c>
    </row>
    <row r="360">
      <c r="E360" s="12">
        <f>IF(OR(NOT(ISNUMBER($C360)),$A361=""),"",$C360+N($E359))</f>
      </c>
      <c r="F360" s="13">
        <f>IF(NOT(ISNUMBER($E360)),"",IF($E360-$C360&lt;0.8,"A",IF($E360-$C360&lt;0.95,"B","C")))</f>
      </c>
    </row>
    <row r="361">
      <c r="E361" s="12">
        <f>IF(OR(NOT(ISNUMBER($C361)),$A362=""),"",$C361+N($E360))</f>
      </c>
      <c r="F361" s="13">
        <f>IF(NOT(ISNUMBER($E361)),"",IF($E361-$C361&lt;0.8,"A",IF($E361-$C361&lt;0.95,"B","C")))</f>
      </c>
    </row>
    <row r="362">
      <c r="E362" s="12">
        <f>IF(OR(NOT(ISNUMBER($C362)),$A363=""),"",$C362+N($E361))</f>
      </c>
      <c r="F362" s="13">
        <f>IF(NOT(ISNUMBER($E362)),"",IF($E362-$C362&lt;0.8,"A",IF($E362-$C362&lt;0.95,"B","C")))</f>
      </c>
    </row>
    <row r="363">
      <c r="E363" s="12">
        <f>IF(OR(NOT(ISNUMBER($C363)),$A364=""),"",$C363+N($E362))</f>
      </c>
      <c r="F363" s="13">
        <f>IF(NOT(ISNUMBER($E363)),"",IF($E363-$C363&lt;0.8,"A",IF($E363-$C363&lt;0.95,"B","C")))</f>
      </c>
    </row>
    <row r="364">
      <c r="E364" s="12">
        <f>IF(OR(NOT(ISNUMBER($C364)),$A365=""),"",$C364+N($E363))</f>
      </c>
      <c r="F364" s="13">
        <f>IF(NOT(ISNUMBER($E364)),"",IF($E364-$C364&lt;0.8,"A",IF($E364-$C364&lt;0.95,"B","C")))</f>
      </c>
    </row>
    <row r="365">
      <c r="E365" s="12">
        <f>IF(OR(NOT(ISNUMBER($C365)),$A366=""),"",$C365+N($E364))</f>
      </c>
      <c r="F365" s="13">
        <f>IF(NOT(ISNUMBER($E365)),"",IF($E365-$C365&lt;0.8,"A",IF($E365-$C365&lt;0.95,"B","C")))</f>
      </c>
    </row>
    <row r="366">
      <c r="E366" s="12">
        <f>IF(OR(NOT(ISNUMBER($C366)),$A367=""),"",$C366+N($E365))</f>
      </c>
      <c r="F366" s="13">
        <f>IF(NOT(ISNUMBER($E366)),"",IF($E366-$C366&lt;0.8,"A",IF($E366-$C366&lt;0.95,"B","C")))</f>
      </c>
    </row>
    <row r="367">
      <c r="E367" s="12">
        <f>IF(OR(NOT(ISNUMBER($C367)),$A368=""),"",$C367+N($E366))</f>
      </c>
      <c r="F367" s="13">
        <f>IF(NOT(ISNUMBER($E367)),"",IF($E367-$C367&lt;0.8,"A",IF($E367-$C367&lt;0.95,"B","C")))</f>
      </c>
    </row>
    <row r="368">
      <c r="E368" s="12">
        <f>IF(OR(NOT(ISNUMBER($C368)),$A369=""),"",$C368+N($E367))</f>
      </c>
      <c r="F368" s="13">
        <f>IF(NOT(ISNUMBER($E368)),"",IF($E368-$C368&lt;0.8,"A",IF($E368-$C368&lt;0.95,"B","C")))</f>
      </c>
    </row>
    <row r="369">
      <c r="E369" s="12">
        <f>IF(OR(NOT(ISNUMBER($C369)),$A370=""),"",$C369+N($E368))</f>
      </c>
      <c r="F369" s="13">
        <f>IF(NOT(ISNUMBER($E369)),"",IF($E369-$C369&lt;0.8,"A",IF($E369-$C369&lt;0.95,"B","C")))</f>
      </c>
    </row>
    <row r="370">
      <c r="E370" s="12">
        <f>IF(OR(NOT(ISNUMBER($C370)),$A371=""),"",$C370+N($E369))</f>
      </c>
      <c r="F370" s="13">
        <f>IF(NOT(ISNUMBER($E370)),"",IF($E370-$C370&lt;0.8,"A",IF($E370-$C370&lt;0.95,"B","C")))</f>
      </c>
    </row>
    <row r="371">
      <c r="E371" s="12">
        <f>IF(OR(NOT(ISNUMBER($C371)),$A372=""),"",$C371+N($E370))</f>
      </c>
      <c r="F371" s="13">
        <f>IF(NOT(ISNUMBER($E371)),"",IF($E371-$C371&lt;0.8,"A",IF($E371-$C371&lt;0.95,"B","C")))</f>
      </c>
    </row>
    <row r="372">
      <c r="E372" s="12">
        <f>IF(OR(NOT(ISNUMBER($C372)),$A373=""),"",$C372+N($E371))</f>
      </c>
      <c r="F372" s="13">
        <f>IF(NOT(ISNUMBER($E372)),"",IF($E372-$C372&lt;0.8,"A",IF($E372-$C372&lt;0.95,"B","C")))</f>
      </c>
    </row>
    <row r="373">
      <c r="E373" s="12">
        <f>IF(OR(NOT(ISNUMBER($C373)),$A374=""),"",$C373+N($E372))</f>
      </c>
      <c r="F373" s="13">
        <f>IF(NOT(ISNUMBER($E373)),"",IF($E373-$C373&lt;0.8,"A",IF($E373-$C373&lt;0.95,"B","C")))</f>
      </c>
    </row>
    <row r="374">
      <c r="E374" s="12">
        <f>IF(OR(NOT(ISNUMBER($C374)),$A375=""),"",$C374+N($E373))</f>
      </c>
      <c r="F374" s="13">
        <f>IF(NOT(ISNUMBER($E374)),"",IF($E374-$C374&lt;0.8,"A",IF($E374-$C374&lt;0.95,"B","C")))</f>
      </c>
    </row>
    <row r="375">
      <c r="E375" s="12">
        <f>IF(OR(NOT(ISNUMBER($C375)),$A376=""),"",$C375+N($E374))</f>
      </c>
      <c r="F375" s="13">
        <f>IF(NOT(ISNUMBER($E375)),"",IF($E375-$C375&lt;0.8,"A",IF($E375-$C375&lt;0.95,"B","C")))</f>
      </c>
    </row>
    <row r="376">
      <c r="E376" s="12">
        <f>IF(OR(NOT(ISNUMBER($C376)),$A377=""),"",$C376+N($E375))</f>
      </c>
      <c r="F376" s="13">
        <f>IF(NOT(ISNUMBER($E376)),"",IF($E376-$C376&lt;0.8,"A",IF($E376-$C376&lt;0.95,"B","C")))</f>
      </c>
    </row>
    <row r="377">
      <c r="E377" s="12">
        <f>IF(OR(NOT(ISNUMBER($C377)),$A378=""),"",$C377+N($E376))</f>
      </c>
      <c r="F377" s="13">
        <f>IF(NOT(ISNUMBER($E377)),"",IF($E377-$C377&lt;0.8,"A",IF($E377-$C377&lt;0.95,"B","C")))</f>
      </c>
    </row>
    <row r="378">
      <c r="E378" s="12">
        <f>IF(OR(NOT(ISNUMBER($C378)),$A379=""),"",$C378+N($E377))</f>
      </c>
      <c r="F378" s="13">
        <f>IF(NOT(ISNUMBER($E378)),"",IF($E378-$C378&lt;0.8,"A",IF($E378-$C378&lt;0.95,"B","C")))</f>
      </c>
    </row>
    <row r="379">
      <c r="E379" s="12">
        <f>IF(OR(NOT(ISNUMBER($C379)),$A380=""),"",$C379+N($E378))</f>
      </c>
      <c r="F379" s="13">
        <f>IF(NOT(ISNUMBER($E379)),"",IF($E379-$C379&lt;0.8,"A",IF($E379-$C379&lt;0.95,"B","C")))</f>
      </c>
    </row>
    <row r="380">
      <c r="E380" s="12">
        <f>IF(OR(NOT(ISNUMBER($C380)),$A381=""),"",$C380+N($E379))</f>
      </c>
      <c r="F380" s="13">
        <f>IF(NOT(ISNUMBER($E380)),"",IF($E380-$C380&lt;0.8,"A",IF($E380-$C380&lt;0.95,"B","C")))</f>
      </c>
    </row>
    <row r="381">
      <c r="E381" s="12">
        <f>IF(OR(NOT(ISNUMBER($C381)),$A382=""),"",$C381+N($E380))</f>
      </c>
      <c r="F381" s="13">
        <f>IF(NOT(ISNUMBER($E381)),"",IF($E381-$C381&lt;0.8,"A",IF($E381-$C381&lt;0.95,"B","C")))</f>
      </c>
    </row>
    <row r="382">
      <c r="E382" s="12">
        <f>IF(OR(NOT(ISNUMBER($C382)),$A383=""),"",$C382+N($E381))</f>
      </c>
      <c r="F382" s="13">
        <f>IF(NOT(ISNUMBER($E382)),"",IF($E382-$C382&lt;0.8,"A",IF($E382-$C382&lt;0.95,"B","C")))</f>
      </c>
    </row>
    <row r="383">
      <c r="E383" s="12">
        <f>IF(OR(NOT(ISNUMBER($C383)),$A384=""),"",$C383+N($E382))</f>
      </c>
      <c r="F383" s="13">
        <f>IF(NOT(ISNUMBER($E383)),"",IF($E383-$C383&lt;0.8,"A",IF($E383-$C383&lt;0.95,"B","C")))</f>
      </c>
    </row>
    <row r="384">
      <c r="E384" s="12">
        <f>IF(OR(NOT(ISNUMBER($C384)),$A385=""),"",$C384+N($E383))</f>
      </c>
      <c r="F384" s="13">
        <f>IF(NOT(ISNUMBER($E384)),"",IF($E384-$C384&lt;0.8,"A",IF($E384-$C384&lt;0.95,"B","C")))</f>
      </c>
    </row>
    <row r="385">
      <c r="E385" s="12">
        <f>IF(OR(NOT(ISNUMBER($C385)),$A386=""),"",$C385+N($E384))</f>
      </c>
      <c r="F385" s="13">
        <f>IF(NOT(ISNUMBER($E385)),"",IF($E385-$C385&lt;0.8,"A",IF($E385-$C385&lt;0.95,"B","C")))</f>
      </c>
    </row>
    <row r="386">
      <c r="E386" s="12">
        <f>IF(OR(NOT(ISNUMBER($C386)),$A387=""),"",$C386+N($E385))</f>
      </c>
      <c r="F386" s="13">
        <f>IF(NOT(ISNUMBER($E386)),"",IF($E386-$C386&lt;0.8,"A",IF($E386-$C386&lt;0.95,"B","C")))</f>
      </c>
    </row>
    <row r="387">
      <c r="E387" s="12">
        <f>IF(OR(NOT(ISNUMBER($C387)),$A388=""),"",$C387+N($E386))</f>
      </c>
      <c r="F387" s="13">
        <f>IF(NOT(ISNUMBER($E387)),"",IF($E387-$C387&lt;0.8,"A",IF($E387-$C387&lt;0.95,"B","C")))</f>
      </c>
    </row>
    <row r="388">
      <c r="E388" s="12">
        <f>IF(OR(NOT(ISNUMBER($C388)),$A389=""),"",$C388+N($E387))</f>
      </c>
      <c r="F388" s="13">
        <f>IF(NOT(ISNUMBER($E388)),"",IF($E388-$C388&lt;0.8,"A",IF($E388-$C388&lt;0.95,"B","C")))</f>
      </c>
    </row>
    <row r="389">
      <c r="E389" s="12">
        <f>IF(OR(NOT(ISNUMBER($C389)),$A390=""),"",$C389+N($E388))</f>
      </c>
      <c r="F389" s="13">
        <f>IF(NOT(ISNUMBER($E389)),"",IF($E389-$C389&lt;0.8,"A",IF($E389-$C389&lt;0.95,"B","C")))</f>
      </c>
    </row>
    <row r="390">
      <c r="E390" s="12">
        <f>IF(OR(NOT(ISNUMBER($C390)),$A391=""),"",$C390+N($E389))</f>
      </c>
      <c r="F390" s="13">
        <f>IF(NOT(ISNUMBER($E390)),"",IF($E390-$C390&lt;0.8,"A",IF($E390-$C390&lt;0.95,"B","C")))</f>
      </c>
    </row>
    <row r="391">
      <c r="E391" s="12">
        <f>IF(OR(NOT(ISNUMBER($C391)),$A392=""),"",$C391+N($E390))</f>
      </c>
      <c r="F391" s="13">
        <f>IF(NOT(ISNUMBER($E391)),"",IF($E391-$C391&lt;0.8,"A",IF($E391-$C391&lt;0.95,"B","C")))</f>
      </c>
    </row>
    <row r="392">
      <c r="E392" s="12">
        <f>IF(OR(NOT(ISNUMBER($C392)),$A393=""),"",$C392+N($E391))</f>
      </c>
      <c r="F392" s="13">
        <f>IF(NOT(ISNUMBER($E392)),"",IF($E392-$C392&lt;0.8,"A",IF($E392-$C392&lt;0.95,"B","C")))</f>
      </c>
    </row>
    <row r="393">
      <c r="E393" s="12">
        <f>IF(OR(NOT(ISNUMBER($C393)),$A394=""),"",$C393+N($E392))</f>
      </c>
      <c r="F393" s="13">
        <f>IF(NOT(ISNUMBER($E393)),"",IF($E393-$C393&lt;0.8,"A",IF($E393-$C393&lt;0.95,"B","C")))</f>
      </c>
    </row>
    <row r="394">
      <c r="E394" s="12">
        <f>IF(OR(NOT(ISNUMBER($C394)),$A395=""),"",$C394+N($E393))</f>
      </c>
      <c r="F394" s="13">
        <f>IF(NOT(ISNUMBER($E394)),"",IF($E394-$C394&lt;0.8,"A",IF($E394-$C394&lt;0.95,"B","C")))</f>
      </c>
    </row>
    <row r="395">
      <c r="E395" s="12">
        <f>IF(OR(NOT(ISNUMBER($C395)),$A396=""),"",$C395+N($E394))</f>
      </c>
      <c r="F395" s="13">
        <f>IF(NOT(ISNUMBER($E395)),"",IF($E395-$C395&lt;0.8,"A",IF($E395-$C395&lt;0.95,"B","C")))</f>
      </c>
    </row>
    <row r="396">
      <c r="E396" s="12">
        <f>IF(OR(NOT(ISNUMBER($C396)),$A397=""),"",$C396+N($E395))</f>
      </c>
      <c r="F396" s="13">
        <f>IF(NOT(ISNUMBER($E396)),"",IF($E396-$C396&lt;0.8,"A",IF($E396-$C396&lt;0.95,"B","C")))</f>
      </c>
    </row>
    <row r="397">
      <c r="E397" s="12">
        <f>IF(OR(NOT(ISNUMBER($C397)),$A398=""),"",$C397+N($E396))</f>
      </c>
      <c r="F397" s="13">
        <f>IF(NOT(ISNUMBER($E397)),"",IF($E397-$C397&lt;0.8,"A",IF($E397-$C397&lt;0.95,"B","C")))</f>
      </c>
    </row>
    <row r="398">
      <c r="E398" s="12">
        <f>IF(OR(NOT(ISNUMBER($C398)),$A399=""),"",$C398+N($E397))</f>
      </c>
      <c r="F398" s="13">
        <f>IF(NOT(ISNUMBER($E398)),"",IF($E398-$C398&lt;0.8,"A",IF($E398-$C398&lt;0.95,"B","C")))</f>
      </c>
    </row>
    <row r="399">
      <c r="E399" s="12">
        <f>IF(OR(NOT(ISNUMBER($C399)),$A400=""),"",$C399+N($E398))</f>
      </c>
      <c r="F399" s="13">
        <f>IF(NOT(ISNUMBER($E399)),"",IF($E399-$C399&lt;0.8,"A",IF($E399-$C399&lt;0.95,"B","C")))</f>
      </c>
    </row>
    <row r="400">
      <c r="E400" s="12">
        <f>IF(OR(NOT(ISNUMBER($C400)),$A401=""),"",$C400+N($E399))</f>
      </c>
      <c r="F400" s="13">
        <f>IF(NOT(ISNUMBER($E400)),"",IF($E400-$C400&lt;0.8,"A",IF($E400-$C400&lt;0.95,"B","C")))</f>
      </c>
    </row>
    <row r="401">
      <c r="E401" s="12">
        <f>IF(OR(NOT(ISNUMBER($C401)),$A402=""),"",$C401+N($E400))</f>
      </c>
      <c r="F401" s="13">
        <f>IF(NOT(ISNUMBER($E401)),"",IF($E401-$C401&lt;0.8,"A",IF($E401-$C401&lt;0.95,"B","C")))</f>
      </c>
    </row>
    <row r="402">
      <c r="E402" s="12">
        <f>IF(OR(NOT(ISNUMBER($C402)),$A403=""),"",$C402+N($E401))</f>
      </c>
      <c r="F402" s="13">
        <f>IF(NOT(ISNUMBER($E402)),"",IF($E402-$C402&lt;0.8,"A",IF($E402-$C402&lt;0.95,"B","C")))</f>
      </c>
    </row>
    <row r="403">
      <c r="E403" s="12">
        <f>IF(OR(NOT(ISNUMBER($C403)),$A404=""),"",$C403+N($E402))</f>
      </c>
      <c r="F403" s="13">
        <f>IF(NOT(ISNUMBER($E403)),"",IF($E403-$C403&lt;0.8,"A",IF($E403-$C403&lt;0.95,"B","C")))</f>
      </c>
    </row>
    <row r="404">
      <c r="E404" s="12">
        <f>IF(OR(NOT(ISNUMBER($C404)),$A405=""),"",$C404+N($E403))</f>
      </c>
      <c r="F404" s="13">
        <f>IF(NOT(ISNUMBER($E404)),"",IF($E404-$C404&lt;0.8,"A",IF($E404-$C404&lt;0.95,"B","C")))</f>
      </c>
    </row>
    <row r="405">
      <c r="E405" s="12">
        <f>IF(OR(NOT(ISNUMBER($C405)),$A406=""),"",$C405+N($E404))</f>
      </c>
      <c r="F405" s="13">
        <f>IF(NOT(ISNUMBER($E405)),"",IF($E405-$C405&lt;0.8,"A",IF($E405-$C405&lt;0.95,"B","C")))</f>
      </c>
    </row>
    <row r="406">
      <c r="E406" s="12">
        <f>IF(OR(NOT(ISNUMBER($C406)),$A407=""),"",$C406+N($E405))</f>
      </c>
      <c r="F406" s="13">
        <f>IF(NOT(ISNUMBER($E406)),"",IF($E406-$C406&lt;0.8,"A",IF($E406-$C406&lt;0.95,"B","C")))</f>
      </c>
    </row>
    <row r="407">
      <c r="E407" s="12">
        <f>IF(OR(NOT(ISNUMBER($C407)),$A408=""),"",$C407+N($E406))</f>
      </c>
      <c r="F407" s="13">
        <f>IF(NOT(ISNUMBER($E407)),"",IF($E407-$C407&lt;0.8,"A",IF($E407-$C407&lt;0.95,"B","C")))</f>
      </c>
    </row>
    <row r="408">
      <c r="E408" s="12">
        <f>IF(OR(NOT(ISNUMBER($C408)),$A409=""),"",$C408+N($E407))</f>
      </c>
      <c r="F408" s="13">
        <f>IF(NOT(ISNUMBER($E408)),"",IF($E408-$C408&lt;0.8,"A",IF($E408-$C408&lt;0.95,"B","C")))</f>
      </c>
    </row>
    <row r="409">
      <c r="E409" s="12">
        <f>IF(OR(NOT(ISNUMBER($C409)),$A410=""),"",$C409+N($E408))</f>
      </c>
      <c r="F409" s="13">
        <f>IF(NOT(ISNUMBER($E409)),"",IF($E409-$C409&lt;0.8,"A",IF($E409-$C409&lt;0.95,"B","C")))</f>
      </c>
    </row>
    <row r="410">
      <c r="E410" s="12">
        <f>IF(OR(NOT(ISNUMBER($C410)),$A411=""),"",$C410+N($E409))</f>
      </c>
      <c r="F410" s="13">
        <f>IF(NOT(ISNUMBER($E410)),"",IF($E410-$C410&lt;0.8,"A",IF($E410-$C410&lt;0.95,"B","C")))</f>
      </c>
    </row>
    <row r="411">
      <c r="E411" s="12">
        <f>IF(OR(NOT(ISNUMBER($C411)),$A412=""),"",$C411+N($E410))</f>
      </c>
      <c r="F411" s="13">
        <f>IF(NOT(ISNUMBER($E411)),"",IF($E411-$C411&lt;0.8,"A",IF($E411-$C411&lt;0.95,"B","C")))</f>
      </c>
    </row>
    <row r="412">
      <c r="E412" s="12">
        <f>IF(OR(NOT(ISNUMBER($C412)),$A413=""),"",$C412+N($E411))</f>
      </c>
      <c r="F412" s="13">
        <f>IF(NOT(ISNUMBER($E412)),"",IF($E412-$C412&lt;0.8,"A",IF($E412-$C412&lt;0.95,"B","C")))</f>
      </c>
    </row>
    <row r="413">
      <c r="E413" s="12">
        <f>IF(OR(NOT(ISNUMBER($C413)),$A414=""),"",$C413+N($E412))</f>
      </c>
      <c r="F413" s="13">
        <f>IF(NOT(ISNUMBER($E413)),"",IF($E413-$C413&lt;0.8,"A",IF($E413-$C413&lt;0.95,"B","C")))</f>
      </c>
    </row>
    <row r="414">
      <c r="E414" s="12">
        <f>IF(OR(NOT(ISNUMBER($C414)),$A415=""),"",$C414+N($E413))</f>
      </c>
      <c r="F414" s="13">
        <f>IF(NOT(ISNUMBER($E414)),"",IF($E414-$C414&lt;0.8,"A",IF($E414-$C414&lt;0.95,"B","C")))</f>
      </c>
    </row>
    <row r="415">
      <c r="E415" s="12">
        <f>IF(OR(NOT(ISNUMBER($C415)),$A416=""),"",$C415+N($E414))</f>
      </c>
      <c r="F415" s="13">
        <f>IF(NOT(ISNUMBER($E415)),"",IF($E415-$C415&lt;0.8,"A",IF($E415-$C415&lt;0.95,"B","C")))</f>
      </c>
    </row>
    <row r="416">
      <c r="E416" s="12">
        <f>IF(OR(NOT(ISNUMBER($C416)),$A417=""),"",$C416+N($E415))</f>
      </c>
      <c r="F416" s="13">
        <f>IF(NOT(ISNUMBER($E416)),"",IF($E416-$C416&lt;0.8,"A",IF($E416-$C416&lt;0.95,"B","C")))</f>
      </c>
    </row>
    <row r="417">
      <c r="E417" s="12">
        <f>IF(OR(NOT(ISNUMBER($C417)),$A418=""),"",$C417+N($E416))</f>
      </c>
      <c r="F417" s="13">
        <f>IF(NOT(ISNUMBER($E417)),"",IF($E417-$C417&lt;0.8,"A",IF($E417-$C417&lt;0.95,"B","C")))</f>
      </c>
    </row>
    <row r="418">
      <c r="E418" s="12">
        <f>IF(OR(NOT(ISNUMBER($C418)),$A419=""),"",$C418+N($E417))</f>
      </c>
      <c r="F418" s="13">
        <f>IF(NOT(ISNUMBER($E418)),"",IF($E418-$C418&lt;0.8,"A",IF($E418-$C418&lt;0.95,"B","C")))</f>
      </c>
    </row>
    <row r="419">
      <c r="E419" s="12">
        <f>IF(OR(NOT(ISNUMBER($C419)),$A420=""),"",$C419+N($E418))</f>
      </c>
      <c r="F419" s="13">
        <f>IF(NOT(ISNUMBER($E419)),"",IF($E419-$C419&lt;0.8,"A",IF($E419-$C419&lt;0.95,"B","C")))</f>
      </c>
    </row>
    <row r="420">
      <c r="E420" s="12">
        <f>IF(OR(NOT(ISNUMBER($C420)),$A421=""),"",$C420+N($E419))</f>
      </c>
      <c r="F420" s="13">
        <f>IF(NOT(ISNUMBER($E420)),"",IF($E420-$C420&lt;0.8,"A",IF($E420-$C420&lt;0.95,"B","C")))</f>
      </c>
    </row>
    <row r="421">
      <c r="E421" s="12">
        <f>IF(OR(NOT(ISNUMBER($C421)),$A422=""),"",$C421+N($E420))</f>
      </c>
      <c r="F421" s="13">
        <f>IF(NOT(ISNUMBER($E421)),"",IF($E421-$C421&lt;0.8,"A",IF($E421-$C421&lt;0.95,"B","C")))</f>
      </c>
    </row>
    <row r="422">
      <c r="E422" s="12">
        <f>IF(OR(NOT(ISNUMBER($C422)),$A423=""),"",$C422+N($E421))</f>
      </c>
      <c r="F422" s="13">
        <f>IF(NOT(ISNUMBER($E422)),"",IF($E422-$C422&lt;0.8,"A",IF($E422-$C422&lt;0.95,"B","C")))</f>
      </c>
    </row>
    <row r="423">
      <c r="E423" s="12">
        <f>IF(OR(NOT(ISNUMBER($C423)),$A424=""),"",$C423+N($E422))</f>
      </c>
      <c r="F423" s="13">
        <f>IF(NOT(ISNUMBER($E423)),"",IF($E423-$C423&lt;0.8,"A",IF($E423-$C423&lt;0.95,"B","C")))</f>
      </c>
    </row>
    <row r="424">
      <c r="E424" s="12">
        <f>IF(OR(NOT(ISNUMBER($C424)),$A425=""),"",$C424+N($E423))</f>
      </c>
      <c r="F424" s="13">
        <f>IF(NOT(ISNUMBER($E424)),"",IF($E424-$C424&lt;0.8,"A",IF($E424-$C424&lt;0.95,"B","C")))</f>
      </c>
    </row>
    <row r="425">
      <c r="E425" s="12">
        <f>IF(OR(NOT(ISNUMBER($C425)),$A426=""),"",$C425+N($E424))</f>
      </c>
      <c r="F425" s="13">
        <f>IF(NOT(ISNUMBER($E425)),"",IF($E425-$C425&lt;0.8,"A",IF($E425-$C425&lt;0.95,"B","C")))</f>
      </c>
    </row>
    <row r="426">
      <c r="E426" s="12">
        <f>IF(OR(NOT(ISNUMBER($C426)),$A427=""),"",$C426+N($E425))</f>
      </c>
      <c r="F426" s="13">
        <f>IF(NOT(ISNUMBER($E426)),"",IF($E426-$C426&lt;0.8,"A",IF($E426-$C426&lt;0.95,"B","C")))</f>
      </c>
    </row>
    <row r="427">
      <c r="E427" s="12">
        <f>IF(OR(NOT(ISNUMBER($C427)),$A428=""),"",$C427+N($E426))</f>
      </c>
      <c r="F427" s="13">
        <f>IF(NOT(ISNUMBER($E427)),"",IF($E427-$C427&lt;0.8,"A",IF($E427-$C427&lt;0.95,"B","C")))</f>
      </c>
    </row>
    <row r="428">
      <c r="E428" s="12">
        <f>IF(OR(NOT(ISNUMBER($C428)),$A429=""),"",$C428+N($E427))</f>
      </c>
      <c r="F428" s="13">
        <f>IF(NOT(ISNUMBER($E428)),"",IF($E428-$C428&lt;0.8,"A",IF($E428-$C428&lt;0.95,"B","C")))</f>
      </c>
    </row>
    <row r="429">
      <c r="E429" s="12">
        <f>IF(OR(NOT(ISNUMBER($C429)),$A430=""),"",$C429+N($E428))</f>
      </c>
      <c r="F429" s="13">
        <f>IF(NOT(ISNUMBER($E429)),"",IF($E429-$C429&lt;0.8,"A",IF($E429-$C429&lt;0.95,"B","C")))</f>
      </c>
    </row>
    <row r="430">
      <c r="E430" s="12">
        <f>IF(OR(NOT(ISNUMBER($C430)),$A431=""),"",$C430+N($E429))</f>
      </c>
      <c r="F430" s="13">
        <f>IF(NOT(ISNUMBER($E430)),"",IF($E430-$C430&lt;0.8,"A",IF($E430-$C430&lt;0.95,"B","C")))</f>
      </c>
    </row>
    <row r="431">
      <c r="E431" s="12">
        <f>IF(OR(NOT(ISNUMBER($C431)),$A432=""),"",$C431+N($E430))</f>
      </c>
      <c r="F431" s="13">
        <f>IF(NOT(ISNUMBER($E431)),"",IF($E431-$C431&lt;0.8,"A",IF($E431-$C431&lt;0.95,"B","C")))</f>
      </c>
    </row>
    <row r="432">
      <c r="E432" s="12">
        <f>IF(OR(NOT(ISNUMBER($C432)),$A433=""),"",$C432+N($E431))</f>
      </c>
      <c r="F432" s="13">
        <f>IF(NOT(ISNUMBER($E432)),"",IF($E432-$C432&lt;0.8,"A",IF($E432-$C432&lt;0.95,"B","C")))</f>
      </c>
    </row>
    <row r="433">
      <c r="E433" s="12">
        <f>IF(OR(NOT(ISNUMBER($C433)),$A434=""),"",$C433+N($E432))</f>
      </c>
      <c r="F433" s="13">
        <f>IF(NOT(ISNUMBER($E433)),"",IF($E433-$C433&lt;0.8,"A",IF($E433-$C433&lt;0.95,"B","C")))</f>
      </c>
    </row>
    <row r="434">
      <c r="E434" s="12">
        <f>IF(OR(NOT(ISNUMBER($C434)),$A435=""),"",$C434+N($E433))</f>
      </c>
      <c r="F434" s="13">
        <f>IF(NOT(ISNUMBER($E434)),"",IF($E434-$C434&lt;0.8,"A",IF($E434-$C434&lt;0.95,"B","C")))</f>
      </c>
    </row>
    <row r="435">
      <c r="E435" s="12">
        <f>IF(OR(NOT(ISNUMBER($C435)),$A436=""),"",$C435+N($E434))</f>
      </c>
      <c r="F435" s="13">
        <f>IF(NOT(ISNUMBER($E435)),"",IF($E435-$C435&lt;0.8,"A",IF($E435-$C435&lt;0.95,"B","C")))</f>
      </c>
    </row>
    <row r="436">
      <c r="E436" s="12">
        <f>IF(OR(NOT(ISNUMBER($C436)),$A437=""),"",$C436+N($E435))</f>
      </c>
      <c r="F436" s="13">
        <f>IF(NOT(ISNUMBER($E436)),"",IF($E436-$C436&lt;0.8,"A",IF($E436-$C436&lt;0.95,"B","C")))</f>
      </c>
    </row>
    <row r="437">
      <c r="E437" s="12">
        <f>IF(OR(NOT(ISNUMBER($C437)),$A438=""),"",$C437+N($E436))</f>
      </c>
      <c r="F437" s="13">
        <f>IF(NOT(ISNUMBER($E437)),"",IF($E437-$C437&lt;0.8,"A",IF($E437-$C437&lt;0.95,"B","C")))</f>
      </c>
    </row>
    <row r="438">
      <c r="E438" s="12">
        <f>IF(OR(NOT(ISNUMBER($C438)),$A439=""),"",$C438+N($E437))</f>
      </c>
      <c r="F438" s="13">
        <f>IF(NOT(ISNUMBER($E438)),"",IF($E438-$C438&lt;0.8,"A",IF($E438-$C438&lt;0.95,"B","C")))</f>
      </c>
    </row>
    <row r="439">
      <c r="E439" s="12">
        <f>IF(OR(NOT(ISNUMBER($C439)),$A440=""),"",$C439+N($E438))</f>
      </c>
      <c r="F439" s="13">
        <f>IF(NOT(ISNUMBER($E439)),"",IF($E439-$C439&lt;0.8,"A",IF($E439-$C439&lt;0.95,"B","C")))</f>
      </c>
    </row>
    <row r="440">
      <c r="E440" s="12">
        <f>IF(OR(NOT(ISNUMBER($C440)),$A441=""),"",$C440+N($E439))</f>
      </c>
      <c r="F440" s="13">
        <f>IF(NOT(ISNUMBER($E440)),"",IF($E440-$C440&lt;0.8,"A",IF($E440-$C440&lt;0.95,"B","C")))</f>
      </c>
    </row>
    <row r="441">
      <c r="E441" s="12">
        <f>IF(OR(NOT(ISNUMBER($C441)),$A442=""),"",$C441+N($E440))</f>
      </c>
      <c r="F441" s="13">
        <f>IF(NOT(ISNUMBER($E441)),"",IF($E441-$C441&lt;0.8,"A",IF($E441-$C441&lt;0.95,"B","C")))</f>
      </c>
    </row>
    <row r="442">
      <c r="E442" s="12">
        <f>IF(OR(NOT(ISNUMBER($C442)),$A443=""),"",$C442+N($E441))</f>
      </c>
      <c r="F442" s="13">
        <f>IF(NOT(ISNUMBER($E442)),"",IF($E442-$C442&lt;0.8,"A",IF($E442-$C442&lt;0.95,"B","C")))</f>
      </c>
    </row>
    <row r="443">
      <c r="E443" s="12">
        <f>IF(OR(NOT(ISNUMBER($C443)),$A444=""),"",$C443+N($E442))</f>
      </c>
      <c r="F443" s="13">
        <f>IF(NOT(ISNUMBER($E443)),"",IF($E443-$C443&lt;0.8,"A",IF($E443-$C443&lt;0.95,"B","C")))</f>
      </c>
    </row>
    <row r="444">
      <c r="E444" s="12">
        <f>IF(OR(NOT(ISNUMBER($C444)),$A445=""),"",$C444+N($E443))</f>
      </c>
      <c r="F444" s="13">
        <f>IF(NOT(ISNUMBER($E444)),"",IF($E444-$C444&lt;0.8,"A",IF($E444-$C444&lt;0.95,"B","C")))</f>
      </c>
    </row>
    <row r="445">
      <c r="E445" s="12">
        <f>IF(OR(NOT(ISNUMBER($C445)),$A446=""),"",$C445+N($E444))</f>
      </c>
      <c r="F445" s="13">
        <f>IF(NOT(ISNUMBER($E445)),"",IF($E445-$C445&lt;0.8,"A",IF($E445-$C445&lt;0.95,"B","C")))</f>
      </c>
    </row>
    <row r="446">
      <c r="E446" s="12">
        <f>IF(OR(NOT(ISNUMBER($C446)),$A447=""),"",$C446+N($E445))</f>
      </c>
      <c r="F446" s="13">
        <f>IF(NOT(ISNUMBER($E446)),"",IF($E446-$C446&lt;0.8,"A",IF($E446-$C446&lt;0.95,"B","C")))</f>
      </c>
    </row>
    <row r="447">
      <c r="E447" s="12">
        <f>IF(OR(NOT(ISNUMBER($C447)),$A448=""),"",$C447+N($E446))</f>
      </c>
      <c r="F447" s="13">
        <f>IF(NOT(ISNUMBER($E447)),"",IF($E447-$C447&lt;0.8,"A",IF($E447-$C447&lt;0.95,"B","C")))</f>
      </c>
    </row>
    <row r="448">
      <c r="E448" s="12">
        <f>IF(OR(NOT(ISNUMBER($C448)),$A449=""),"",$C448+N($E447))</f>
      </c>
      <c r="F448" s="13">
        <f>IF(NOT(ISNUMBER($E448)),"",IF($E448-$C448&lt;0.8,"A",IF($E448-$C448&lt;0.95,"B","C")))</f>
      </c>
    </row>
    <row r="449">
      <c r="E449" s="12">
        <f>IF(OR(NOT(ISNUMBER($C449)),$A450=""),"",$C449+N($E448))</f>
      </c>
      <c r="F449" s="13">
        <f>IF(NOT(ISNUMBER($E449)),"",IF($E449-$C449&lt;0.8,"A",IF($E449-$C449&lt;0.95,"B","C")))</f>
      </c>
    </row>
    <row r="450">
      <c r="E450" s="12">
        <f>IF(OR(NOT(ISNUMBER($C450)),$A451=""),"",$C450+N($E449))</f>
      </c>
      <c r="F450" s="13">
        <f>IF(NOT(ISNUMBER($E450)),"",IF($E450-$C450&lt;0.8,"A",IF($E450-$C450&lt;0.95,"B","C")))</f>
      </c>
    </row>
    <row r="451">
      <c r="E451" s="12">
        <f>IF(OR(NOT(ISNUMBER($C451)),$A452=""),"",$C451+N($E450))</f>
      </c>
      <c r="F451" s="13">
        <f>IF(NOT(ISNUMBER($E451)),"",IF($E451-$C451&lt;0.8,"A",IF($E451-$C451&lt;0.95,"B","C")))</f>
      </c>
    </row>
    <row r="452">
      <c r="E452" s="12">
        <f>IF(OR(NOT(ISNUMBER($C452)),$A453=""),"",$C452+N($E451))</f>
      </c>
      <c r="F452" s="13">
        <f>IF(NOT(ISNUMBER($E452)),"",IF($E452-$C452&lt;0.8,"A",IF($E452-$C452&lt;0.95,"B","C")))</f>
      </c>
    </row>
    <row r="453">
      <c r="E453" s="12">
        <f>IF(OR(NOT(ISNUMBER($C453)),$A454=""),"",$C453+N($E452))</f>
      </c>
      <c r="F453" s="13">
        <f>IF(NOT(ISNUMBER($E453)),"",IF($E453-$C453&lt;0.8,"A",IF($E453-$C453&lt;0.95,"B","C")))</f>
      </c>
    </row>
    <row r="454">
      <c r="E454" s="12">
        <f>IF(OR(NOT(ISNUMBER($C454)),$A455=""),"",$C454+N($E453))</f>
      </c>
      <c r="F454" s="13">
        <f>IF(NOT(ISNUMBER($E454)),"",IF($E454-$C454&lt;0.8,"A",IF($E454-$C454&lt;0.95,"B","C")))</f>
      </c>
    </row>
    <row r="455">
      <c r="E455" s="12">
        <f>IF(OR(NOT(ISNUMBER($C455)),$A456=""),"",$C455+N($E454))</f>
      </c>
      <c r="F455" s="13">
        <f>IF(NOT(ISNUMBER($E455)),"",IF($E455-$C455&lt;0.8,"A",IF($E455-$C455&lt;0.95,"B","C")))</f>
      </c>
    </row>
    <row r="456">
      <c r="E456" s="12">
        <f>IF(OR(NOT(ISNUMBER($C456)),$A457=""),"",$C456+N($E455))</f>
      </c>
      <c r="F456" s="13">
        <f>IF(NOT(ISNUMBER($E456)),"",IF($E456-$C456&lt;0.8,"A",IF($E456-$C456&lt;0.95,"B","C")))</f>
      </c>
    </row>
    <row r="457">
      <c r="E457" s="12">
        <f>IF(OR(NOT(ISNUMBER($C457)),$A458=""),"",$C457+N($E456))</f>
      </c>
      <c r="F457" s="13">
        <f>IF(NOT(ISNUMBER($E457)),"",IF($E457-$C457&lt;0.8,"A",IF($E457-$C457&lt;0.95,"B","C")))</f>
      </c>
    </row>
    <row r="458">
      <c r="E458" s="12">
        <f>IF(OR(NOT(ISNUMBER($C458)),$A459=""),"",$C458+N($E457))</f>
      </c>
      <c r="F458" s="13">
        <f>IF(NOT(ISNUMBER($E458)),"",IF($E458-$C458&lt;0.8,"A",IF($E458-$C458&lt;0.95,"B","C")))</f>
      </c>
    </row>
    <row r="459">
      <c r="E459" s="12">
        <f>IF(OR(NOT(ISNUMBER($C459)),$A460=""),"",$C459+N($E458))</f>
      </c>
      <c r="F459" s="13">
        <f>IF(NOT(ISNUMBER($E459)),"",IF($E459-$C459&lt;0.8,"A",IF($E459-$C459&lt;0.95,"B","C")))</f>
      </c>
    </row>
    <row r="460">
      <c r="E460" s="12">
        <f>IF(OR(NOT(ISNUMBER($C460)),$A461=""),"",$C460+N($E459))</f>
      </c>
      <c r="F460" s="13">
        <f>IF(NOT(ISNUMBER($E460)),"",IF($E460-$C460&lt;0.8,"A",IF($E460-$C460&lt;0.95,"B","C")))</f>
      </c>
    </row>
    <row r="461">
      <c r="E461" s="12">
        <f>IF(OR(NOT(ISNUMBER($C461)),$A462=""),"",$C461+N($E460))</f>
      </c>
      <c r="F461" s="13">
        <f>IF(NOT(ISNUMBER($E461)),"",IF($E461-$C461&lt;0.8,"A",IF($E461-$C461&lt;0.95,"B","C")))</f>
      </c>
    </row>
    <row r="462">
      <c r="E462" s="12">
        <f>IF(OR(NOT(ISNUMBER($C462)),$A463=""),"",$C462+N($E461))</f>
      </c>
      <c r="F462" s="13">
        <f>IF(NOT(ISNUMBER($E462)),"",IF($E462-$C462&lt;0.8,"A",IF($E462-$C462&lt;0.95,"B","C")))</f>
      </c>
    </row>
    <row r="463">
      <c r="E463" s="12">
        <f>IF(OR(NOT(ISNUMBER($C463)),$A464=""),"",$C463+N($E462))</f>
      </c>
      <c r="F463" s="13">
        <f>IF(NOT(ISNUMBER($E463)),"",IF($E463-$C463&lt;0.8,"A",IF($E463-$C463&lt;0.95,"B","C")))</f>
      </c>
    </row>
    <row r="464">
      <c r="E464" s="12">
        <f>IF(OR(NOT(ISNUMBER($C464)),$A465=""),"",$C464+N($E463))</f>
      </c>
      <c r="F464" s="13">
        <f>IF(NOT(ISNUMBER($E464)),"",IF($E464-$C464&lt;0.8,"A",IF($E464-$C464&lt;0.95,"B","C")))</f>
      </c>
    </row>
    <row r="465">
      <c r="E465" s="12">
        <f>IF(OR(NOT(ISNUMBER($C465)),$A466=""),"",$C465+N($E464))</f>
      </c>
      <c r="F465" s="13">
        <f>IF(NOT(ISNUMBER($E465)),"",IF($E465-$C465&lt;0.8,"A",IF($E465-$C465&lt;0.95,"B","C")))</f>
      </c>
    </row>
    <row r="466">
      <c r="E466" s="12">
        <f>IF(OR(NOT(ISNUMBER($C466)),$A467=""),"",$C466+N($E465))</f>
      </c>
      <c r="F466" s="13">
        <f>IF(NOT(ISNUMBER($E466)),"",IF($E466-$C466&lt;0.8,"A",IF($E466-$C466&lt;0.95,"B","C")))</f>
      </c>
    </row>
    <row r="467">
      <c r="E467" s="12">
        <f>IF(OR(NOT(ISNUMBER($C467)),$A468=""),"",$C467+N($E466))</f>
      </c>
      <c r="F467" s="13">
        <f>IF(NOT(ISNUMBER($E467)),"",IF($E467-$C467&lt;0.8,"A",IF($E467-$C467&lt;0.95,"B","C")))</f>
      </c>
    </row>
    <row r="468">
      <c r="E468" s="12">
        <f>IF(OR(NOT(ISNUMBER($C468)),$A469=""),"",$C468+N($E467))</f>
      </c>
      <c r="F468" s="13">
        <f>IF(NOT(ISNUMBER($E468)),"",IF($E468-$C468&lt;0.8,"A",IF($E468-$C468&lt;0.95,"B","C")))</f>
      </c>
    </row>
    <row r="469">
      <c r="E469" s="12">
        <f>IF(OR(NOT(ISNUMBER($C469)),$A470=""),"",$C469+N($E468))</f>
      </c>
      <c r="F469" s="13">
        <f>IF(NOT(ISNUMBER($E469)),"",IF($E469-$C469&lt;0.8,"A",IF($E469-$C469&lt;0.95,"B","C")))</f>
      </c>
    </row>
    <row r="470">
      <c r="E470" s="12">
        <f>IF(OR(NOT(ISNUMBER($C470)),$A471=""),"",$C470+N($E469))</f>
      </c>
      <c r="F470" s="13">
        <f>IF(NOT(ISNUMBER($E470)),"",IF($E470-$C470&lt;0.8,"A",IF($E470-$C470&lt;0.95,"B","C")))</f>
      </c>
    </row>
    <row r="471">
      <c r="E471" s="12">
        <f>IF(OR(NOT(ISNUMBER($C471)),$A472=""),"",$C471+N($E470))</f>
      </c>
      <c r="F471" s="13">
        <f>IF(NOT(ISNUMBER($E471)),"",IF($E471-$C471&lt;0.8,"A",IF($E471-$C471&lt;0.95,"B","C")))</f>
      </c>
    </row>
    <row r="472">
      <c r="E472" s="12">
        <f>IF(OR(NOT(ISNUMBER($C472)),$A473=""),"",$C472+N($E471))</f>
      </c>
      <c r="F472" s="13">
        <f>IF(NOT(ISNUMBER($E472)),"",IF($E472-$C472&lt;0.8,"A",IF($E472-$C472&lt;0.95,"B","C")))</f>
      </c>
    </row>
    <row r="473">
      <c r="E473" s="12">
        <f>IF(OR(NOT(ISNUMBER($C473)),$A474=""),"",$C473+N($E472))</f>
      </c>
      <c r="F473" s="13">
        <f>IF(NOT(ISNUMBER($E473)),"",IF($E473-$C473&lt;0.8,"A",IF($E473-$C473&lt;0.95,"B","C")))</f>
      </c>
    </row>
    <row r="474">
      <c r="E474" s="12">
        <f>IF(OR(NOT(ISNUMBER($C474)),$A475=""),"",$C474+N($E473))</f>
      </c>
      <c r="F474" s="13">
        <f>IF(NOT(ISNUMBER($E474)),"",IF($E474-$C474&lt;0.8,"A",IF($E474-$C474&lt;0.95,"B","C")))</f>
      </c>
    </row>
    <row r="475">
      <c r="E475" s="12">
        <f>IF(OR(NOT(ISNUMBER($C475)),$A476=""),"",$C475+N($E474))</f>
      </c>
      <c r="F475" s="13">
        <f>IF(NOT(ISNUMBER($E475)),"",IF($E475-$C475&lt;0.8,"A",IF($E475-$C475&lt;0.95,"B","C")))</f>
      </c>
    </row>
    <row r="476">
      <c r="E476" s="12">
        <f>IF(OR(NOT(ISNUMBER($C476)),$A477=""),"",$C476+N($E475))</f>
      </c>
      <c r="F476" s="13">
        <f>IF(NOT(ISNUMBER($E476)),"",IF($E476-$C476&lt;0.8,"A",IF($E476-$C476&lt;0.95,"B","C")))</f>
      </c>
    </row>
    <row r="477">
      <c r="E477" s="12">
        <f>IF(OR(NOT(ISNUMBER($C477)),$A478=""),"",$C477+N($E476))</f>
      </c>
      <c r="F477" s="13">
        <f>IF(NOT(ISNUMBER($E477)),"",IF($E477-$C477&lt;0.8,"A",IF($E477-$C477&lt;0.95,"B","C")))</f>
      </c>
    </row>
    <row r="478">
      <c r="E478" s="12">
        <f>IF(OR(NOT(ISNUMBER($C478)),$A479=""),"",$C478+N($E477))</f>
      </c>
      <c r="F478" s="13">
        <f>IF(NOT(ISNUMBER($E478)),"",IF($E478-$C478&lt;0.8,"A",IF($E478-$C478&lt;0.95,"B","C")))</f>
      </c>
    </row>
    <row r="479">
      <c r="E479" s="12">
        <f>IF(OR(NOT(ISNUMBER($C479)),$A480=""),"",$C479+N($E478))</f>
      </c>
      <c r="F479" s="13">
        <f>IF(NOT(ISNUMBER($E479)),"",IF($E479-$C479&lt;0.8,"A",IF($E479-$C479&lt;0.95,"B","C")))</f>
      </c>
    </row>
    <row r="480">
      <c r="E480" s="12">
        <f>IF(OR(NOT(ISNUMBER($C480)),$A481=""),"",$C480+N($E479))</f>
      </c>
      <c r="F480" s="13">
        <f>IF(NOT(ISNUMBER($E480)),"",IF($E480-$C480&lt;0.8,"A",IF($E480-$C480&lt;0.95,"B","C")))</f>
      </c>
    </row>
    <row r="481">
      <c r="E481" s="12">
        <f>IF(OR(NOT(ISNUMBER($C481)),$A482=""),"",$C481+N($E480))</f>
      </c>
      <c r="F481" s="13">
        <f>IF(NOT(ISNUMBER($E481)),"",IF($E481-$C481&lt;0.8,"A",IF($E481-$C481&lt;0.95,"B","C")))</f>
      </c>
    </row>
    <row r="482">
      <c r="E482" s="12">
        <f>IF(OR(NOT(ISNUMBER($C482)),$A483=""),"",$C482+N($E481))</f>
      </c>
      <c r="F482" s="13">
        <f>IF(NOT(ISNUMBER($E482)),"",IF($E482-$C482&lt;0.8,"A",IF($E482-$C482&lt;0.95,"B","C")))</f>
      </c>
    </row>
    <row r="483">
      <c r="E483" s="12">
        <f>IF(OR(NOT(ISNUMBER($C483)),$A484=""),"",$C483+N($E482))</f>
      </c>
      <c r="F483" s="13">
        <f>IF(NOT(ISNUMBER($E483)),"",IF($E483-$C483&lt;0.8,"A",IF($E483-$C483&lt;0.95,"B","C")))</f>
      </c>
    </row>
    <row r="484">
      <c r="E484" s="12">
        <f>IF(OR(NOT(ISNUMBER($C484)),$A485=""),"",$C484+N($E483))</f>
      </c>
      <c r="F484" s="13">
        <f>IF(NOT(ISNUMBER($E484)),"",IF($E484-$C484&lt;0.8,"A",IF($E484-$C484&lt;0.95,"B","C")))</f>
      </c>
    </row>
    <row r="485">
      <c r="E485" s="12">
        <f>IF(OR(NOT(ISNUMBER($C485)),$A486=""),"",$C485+N($E484))</f>
      </c>
      <c r="F485" s="13">
        <f>IF(NOT(ISNUMBER($E485)),"",IF($E485-$C485&lt;0.8,"A",IF($E485-$C485&lt;0.95,"B","C")))</f>
      </c>
    </row>
    <row r="486">
      <c r="E486" s="12">
        <f>IF(OR(NOT(ISNUMBER($C486)),$A487=""),"",$C486+N($E485))</f>
      </c>
      <c r="F486" s="13">
        <f>IF(NOT(ISNUMBER($E486)),"",IF($E486-$C486&lt;0.8,"A",IF($E486-$C486&lt;0.95,"B","C")))</f>
      </c>
    </row>
    <row r="487">
      <c r="E487" s="12">
        <f>IF(OR(NOT(ISNUMBER($C487)),$A488=""),"",$C487+N($E486))</f>
      </c>
      <c r="F487" s="13">
        <f>IF(NOT(ISNUMBER($E487)),"",IF($E487-$C487&lt;0.8,"A",IF($E487-$C487&lt;0.95,"B","C")))</f>
      </c>
    </row>
    <row r="488">
      <c r="E488" s="12">
        <f>IF(OR(NOT(ISNUMBER($C488)),$A489=""),"",$C488+N($E487))</f>
      </c>
      <c r="F488" s="13">
        <f>IF(NOT(ISNUMBER($E488)),"",IF($E488-$C488&lt;0.8,"A",IF($E488-$C488&lt;0.95,"B","C")))</f>
      </c>
    </row>
    <row r="489">
      <c r="E489" s="12">
        <f>IF(OR(NOT(ISNUMBER($C489)),$A490=""),"",$C489+N($E488))</f>
      </c>
      <c r="F489" s="13">
        <f>IF(NOT(ISNUMBER($E489)),"",IF($E489-$C489&lt;0.8,"A",IF($E489-$C489&lt;0.95,"B","C")))</f>
      </c>
    </row>
    <row r="490">
      <c r="E490" s="12">
        <f>IF(OR(NOT(ISNUMBER($C490)),$A491=""),"",$C490+N($E489))</f>
      </c>
      <c r="F490" s="13">
        <f>IF(NOT(ISNUMBER($E490)),"",IF($E490-$C490&lt;0.8,"A",IF($E490-$C490&lt;0.95,"B","C")))</f>
      </c>
    </row>
    <row r="491">
      <c r="E491" s="12">
        <f>IF(OR(NOT(ISNUMBER($C491)),$A492=""),"",$C491+N($E490))</f>
      </c>
      <c r="F491" s="13">
        <f>IF(NOT(ISNUMBER($E491)),"",IF($E491-$C491&lt;0.8,"A",IF($E491-$C491&lt;0.95,"B","C")))</f>
      </c>
    </row>
    <row r="492">
      <c r="E492" s="12">
        <f>IF(OR(NOT(ISNUMBER($C492)),$A493=""),"",$C492+N($E491))</f>
      </c>
      <c r="F492" s="13">
        <f>IF(NOT(ISNUMBER($E492)),"",IF($E492-$C492&lt;0.8,"A",IF($E492-$C492&lt;0.95,"B","C")))</f>
      </c>
    </row>
    <row r="493">
      <c r="E493" s="12">
        <f>IF(OR(NOT(ISNUMBER($C493)),$A494=""),"",$C493+N($E492))</f>
      </c>
      <c r="F493" s="13">
        <f>IF(NOT(ISNUMBER($E493)),"",IF($E493-$C493&lt;0.8,"A",IF($E493-$C493&lt;0.95,"B","C")))</f>
      </c>
    </row>
    <row r="494">
      <c r="E494" s="12">
        <f>IF(OR(NOT(ISNUMBER($C494)),$A495=""),"",$C494+N($E493))</f>
      </c>
      <c r="F494" s="13">
        <f>IF(NOT(ISNUMBER($E494)),"",IF($E494-$C494&lt;0.8,"A",IF($E494-$C494&lt;0.95,"B","C")))</f>
      </c>
    </row>
    <row r="495">
      <c r="E495" s="12">
        <f>IF(OR(NOT(ISNUMBER($C495)),$A496=""),"",$C495+N($E494))</f>
      </c>
      <c r="F495" s="13">
        <f>IF(NOT(ISNUMBER($E495)),"",IF($E495-$C495&lt;0.8,"A",IF($E495-$C495&lt;0.95,"B","C")))</f>
      </c>
    </row>
    <row r="496">
      <c r="E496" s="12">
        <f>IF(OR(NOT(ISNUMBER($C496)),$A497=""),"",$C496+N($E495))</f>
      </c>
      <c r="F496" s="13">
        <f>IF(NOT(ISNUMBER($E496)),"",IF($E496-$C496&lt;0.8,"A",IF($E496-$C496&lt;0.95,"B","C")))</f>
      </c>
    </row>
    <row r="497">
      <c r="E497" s="12">
        <f>IF(OR(NOT(ISNUMBER($C497)),$A498=""),"",$C497+N($E496))</f>
      </c>
      <c r="F497" s="13">
        <f>IF(NOT(ISNUMBER($E497)),"",IF($E497-$C497&lt;0.8,"A",IF($E497-$C497&lt;0.95,"B","C")))</f>
      </c>
    </row>
    <row r="498">
      <c r="E498" s="12">
        <f>IF(OR(NOT(ISNUMBER($C498)),$A499=""),"",$C498+N($E497))</f>
      </c>
      <c r="F498" s="13">
        <f>IF(NOT(ISNUMBER($E498)),"",IF($E498-$C498&lt;0.8,"A",IF($E498-$C498&lt;0.95,"B","C")))</f>
      </c>
    </row>
    <row r="499">
      <c r="E499" s="12">
        <f>IF(OR(NOT(ISNUMBER($C499)),$A500=""),"",$C499+N($E498))</f>
      </c>
      <c r="F499" s="13">
        <f>IF(NOT(ISNUMBER($E499)),"",IF($E499-$C499&lt;0.8,"A",IF($E499-$C499&lt;0.95,"B","C")))</f>
      </c>
    </row>
    <row r="500">
      <c r="E500" s="12">
        <f>IF(OR(NOT(ISNUMBER($C500)),$A501=""),"",$C500+N($E499))</f>
      </c>
      <c r="F500" s="13">
        <f>IF(NOT(ISNUMBER($E500)),"",IF($E500-$C500&lt;0.8,"A",IF($E500-$C500&lt;0.95,"B","C")))</f>
      </c>
    </row>
    <row r="501">
      <c r="E501" s="12">
        <f>IF(OR(NOT(ISNUMBER($C501)),$A502=""),"",$C501+N($E500))</f>
      </c>
      <c r="F501" s="13">
        <f>IF(NOT(ISNUMBER($E501)),"",IF($E501-$C501&lt;0.8,"A",IF($E501-$C501&lt;0.95,"B","C")))</f>
      </c>
    </row>
    <row r="502">
      <c r="E502" s="12">
        <f>IF(OR(NOT(ISNUMBER($C502)),$A503=""),"",$C502+N($E501))</f>
      </c>
      <c r="F502" s="13">
        <f>IF(NOT(ISNUMBER($E502)),"",IF($E502-$C502&lt;0.8,"A",IF($E502-$C502&lt;0.95,"B","C")))</f>
      </c>
    </row>
    <row r="503">
      <c r="E503" s="12">
        <f>IF(OR(NOT(ISNUMBER($C503)),$A504=""),"",$C503+N($E502))</f>
      </c>
      <c r="F503" s="13">
        <f>IF(NOT(ISNUMBER($E503)),"",IF($E503-$C503&lt;0.8,"A",IF($E503-$C503&lt;0.95,"B","C")))</f>
      </c>
    </row>
    <row r="504">
      <c r="E504" s="12">
        <f>IF(OR(NOT(ISNUMBER($C504)),$A505=""),"",$C504+N($E503))</f>
      </c>
      <c r="F504" s="13">
        <f>IF(NOT(ISNUMBER($E504)),"",IF($E504-$C504&lt;0.8,"A",IF($E504-$C504&lt;0.95,"B","C")))</f>
      </c>
    </row>
    <row r="505">
      <c r="E505" s="12">
        <f>IF(OR(NOT(ISNUMBER($C505)),$A506=""),"",$C505+N($E504))</f>
      </c>
      <c r="F505" s="13">
        <f>IF(NOT(ISNUMBER($E505)),"",IF($E505-$C505&lt;0.8,"A",IF($E505-$C505&lt;0.95,"B","C")))</f>
      </c>
    </row>
    <row r="506">
      <c r="E506" s="12">
        <f>IF(OR(NOT(ISNUMBER($C506)),$A507=""),"",$C506+N($E505))</f>
      </c>
      <c r="F506" s="13">
        <f>IF(NOT(ISNUMBER($E506)),"",IF($E506-$C506&lt;0.8,"A",IF($E506-$C506&lt;0.95,"B","C")))</f>
      </c>
    </row>
    <row r="507">
      <c r="E507" s="12">
        <f>IF(OR(NOT(ISNUMBER($C507)),$A508=""),"",$C507+N($E506))</f>
      </c>
      <c r="F507" s="13">
        <f>IF(NOT(ISNUMBER($E507)),"",IF($E507-$C507&lt;0.8,"A",IF($E507-$C507&lt;0.95,"B","C")))</f>
      </c>
    </row>
    <row r="508">
      <c r="E508" s="12">
        <f>IF(OR(NOT(ISNUMBER($C508)),$A509=""),"",$C508+N($E507))</f>
      </c>
      <c r="F508" s="13">
        <f>IF(NOT(ISNUMBER($E508)),"",IF($E508-$C508&lt;0.8,"A",IF($E508-$C508&lt;0.95,"B","C")))</f>
      </c>
    </row>
    <row r="509">
      <c r="E509" s="12">
        <f>IF(OR(NOT(ISNUMBER($C509)),$A510=""),"",$C509+N($E508))</f>
      </c>
      <c r="F509" s="13">
        <f>IF(NOT(ISNUMBER($E509)),"",IF($E509-$C509&lt;0.8,"A",IF($E509-$C509&lt;0.95,"B","C")))</f>
      </c>
    </row>
    <row r="510">
      <c r="E510" s="12">
        <f>IF(OR(NOT(ISNUMBER($C510)),$A511=""),"",$C510+N($E509))</f>
      </c>
      <c r="F510" s="13">
        <f>IF(NOT(ISNUMBER($E510)),"",IF($E510-$C510&lt;0.8,"A",IF($E510-$C510&lt;0.95,"B","C")))</f>
      </c>
    </row>
    <row r="511">
      <c r="E511" s="12">
        <f>IF(OR(NOT(ISNUMBER($C511)),$A512=""),"",$C511+N($E510))</f>
      </c>
      <c r="F511" s="13">
        <f>IF(NOT(ISNUMBER($E511)),"",IF($E511-$C511&lt;0.8,"A",IF($E511-$C511&lt;0.95,"B","C")))</f>
      </c>
    </row>
    <row r="512">
      <c r="E512" s="12">
        <f>IF(OR(NOT(ISNUMBER($C512)),$A513=""),"",$C512+N($E511))</f>
      </c>
      <c r="F512" s="13">
        <f>IF(NOT(ISNUMBER($E512)),"",IF($E512-$C512&lt;0.8,"A",IF($E512-$C512&lt;0.95,"B","C")))</f>
      </c>
    </row>
    <row r="513">
      <c r="E513" s="12">
        <f>IF(OR(NOT(ISNUMBER($C513)),$A514=""),"",$C513+N($E512))</f>
      </c>
      <c r="F513" s="13">
        <f>IF(NOT(ISNUMBER($E513)),"",IF($E513-$C513&lt;0.8,"A",IF($E513-$C513&lt;0.95,"B","C")))</f>
      </c>
    </row>
    <row r="514">
      <c r="E514" s="12">
        <f>IF(OR(NOT(ISNUMBER($C514)),$A515=""),"",$C514+N($E513))</f>
      </c>
      <c r="F514" s="13">
        <f>IF(NOT(ISNUMBER($E514)),"",IF($E514-$C514&lt;0.8,"A",IF($E514-$C514&lt;0.95,"B","C")))</f>
      </c>
    </row>
    <row r="515">
      <c r="E515" s="12">
        <f>IF(OR(NOT(ISNUMBER($C515)),$A516=""),"",$C515+N($E514))</f>
      </c>
      <c r="F515" s="13">
        <f>IF(NOT(ISNUMBER($E515)),"",IF($E515-$C515&lt;0.8,"A",IF($E515-$C515&lt;0.95,"B","C")))</f>
      </c>
    </row>
    <row r="516">
      <c r="E516" s="12">
        <f>IF(OR(NOT(ISNUMBER($C516)),$A517=""),"",$C516+N($E515))</f>
      </c>
      <c r="F516" s="13">
        <f>IF(NOT(ISNUMBER($E516)),"",IF($E516-$C516&lt;0.8,"A",IF($E516-$C516&lt;0.95,"B","C")))</f>
      </c>
    </row>
    <row r="517">
      <c r="E517" s="12">
        <f>IF(OR(NOT(ISNUMBER($C517)),$A518=""),"",$C517+N($E516))</f>
      </c>
      <c r="F517" s="13">
        <f>IF(NOT(ISNUMBER($E517)),"",IF($E517-$C517&lt;0.8,"A",IF($E517-$C517&lt;0.95,"B","C")))</f>
      </c>
    </row>
    <row r="518">
      <c r="E518" s="12">
        <f>IF(OR(NOT(ISNUMBER($C518)),$A519=""),"",$C518+N($E517))</f>
      </c>
      <c r="F518" s="13">
        <f>IF(NOT(ISNUMBER($E518)),"",IF($E518-$C518&lt;0.8,"A",IF($E518-$C518&lt;0.95,"B","C")))</f>
      </c>
    </row>
    <row r="519">
      <c r="E519" s="12">
        <f>IF(OR(NOT(ISNUMBER($C519)),$A520=""),"",$C519+N($E518))</f>
      </c>
      <c r="F519" s="13">
        <f>IF(NOT(ISNUMBER($E519)),"",IF($E519-$C519&lt;0.8,"A",IF($E519-$C519&lt;0.95,"B","C")))</f>
      </c>
    </row>
    <row r="520">
      <c r="E520" s="12">
        <f>IF(OR(NOT(ISNUMBER($C520)),$A521=""),"",$C520+N($E519))</f>
      </c>
      <c r="F520" s="13">
        <f>IF(NOT(ISNUMBER($E520)),"",IF($E520-$C520&lt;0.8,"A",IF($E520-$C520&lt;0.95,"B","C")))</f>
      </c>
    </row>
    <row r="521">
      <c r="E521" s="12">
        <f>IF(OR(NOT(ISNUMBER($C521)),$A522=""),"",$C521+N($E520))</f>
      </c>
      <c r="F521" s="13">
        <f>IF(NOT(ISNUMBER($E521)),"",IF($E521-$C521&lt;0.8,"A",IF($E521-$C521&lt;0.95,"B","C")))</f>
      </c>
    </row>
    <row r="522">
      <c r="E522" s="12">
        <f>IF(OR(NOT(ISNUMBER($C522)),$A523=""),"",$C522+N($E521))</f>
      </c>
      <c r="F522" s="13">
        <f>IF(NOT(ISNUMBER($E522)),"",IF($E522-$C522&lt;0.8,"A",IF($E522-$C522&lt;0.95,"B","C")))</f>
      </c>
    </row>
    <row r="523">
      <c r="E523" s="12">
        <f>IF(OR(NOT(ISNUMBER($C523)),$A524=""),"",$C523+N($E522))</f>
      </c>
      <c r="F523" s="13">
        <f>IF(NOT(ISNUMBER($E523)),"",IF($E523-$C523&lt;0.8,"A",IF($E523-$C523&lt;0.95,"B","C")))</f>
      </c>
    </row>
    <row r="524">
      <c r="E524" s="12">
        <f>IF(OR(NOT(ISNUMBER($C524)),$A525=""),"",$C524+N($E523))</f>
      </c>
      <c r="F524" s="13">
        <f>IF(NOT(ISNUMBER($E524)),"",IF($E524-$C524&lt;0.8,"A",IF($E524-$C524&lt;0.95,"B","C")))</f>
      </c>
    </row>
    <row r="525">
      <c r="E525" s="12">
        <f>IF(OR(NOT(ISNUMBER($C525)),$A526=""),"",$C525+N($E524))</f>
      </c>
      <c r="F525" s="13">
        <f>IF(NOT(ISNUMBER($E525)),"",IF($E525-$C525&lt;0.8,"A",IF($E525-$C525&lt;0.95,"B","C")))</f>
      </c>
    </row>
    <row r="526">
      <c r="E526" s="12">
        <f>IF(OR(NOT(ISNUMBER($C526)),$A527=""),"",$C526+N($E525))</f>
      </c>
      <c r="F526" s="13">
        <f>IF(NOT(ISNUMBER($E526)),"",IF($E526-$C526&lt;0.8,"A",IF($E526-$C526&lt;0.95,"B","C")))</f>
      </c>
    </row>
    <row r="527">
      <c r="E527" s="12">
        <f>IF(OR(NOT(ISNUMBER($C527)),$A528=""),"",$C527+N($E526))</f>
      </c>
      <c r="F527" s="13">
        <f>IF(NOT(ISNUMBER($E527)),"",IF($E527-$C527&lt;0.8,"A",IF($E527-$C527&lt;0.95,"B","C")))</f>
      </c>
    </row>
    <row r="528">
      <c r="E528" s="12">
        <f>IF(OR(NOT(ISNUMBER($C528)),$A529=""),"",$C528+N($E527))</f>
      </c>
      <c r="F528" s="13">
        <f>IF(NOT(ISNUMBER($E528)),"",IF($E528-$C528&lt;0.8,"A",IF($E528-$C528&lt;0.95,"B","C")))</f>
      </c>
    </row>
    <row r="529">
      <c r="E529" s="12">
        <f>IF(OR(NOT(ISNUMBER($C529)),$A530=""),"",$C529+N($E528))</f>
      </c>
      <c r="F529" s="13">
        <f>IF(NOT(ISNUMBER($E529)),"",IF($E529-$C529&lt;0.8,"A",IF($E529-$C529&lt;0.95,"B","C")))</f>
      </c>
    </row>
    <row r="530">
      <c r="E530" s="12">
        <f>IF(OR(NOT(ISNUMBER($C530)),$A531=""),"",$C530+N($E529))</f>
      </c>
      <c r="F530" s="13">
        <f>IF(NOT(ISNUMBER($E530)),"",IF($E530-$C530&lt;0.8,"A",IF($E530-$C530&lt;0.95,"B","C")))</f>
      </c>
    </row>
    <row r="531">
      <c r="E531" s="12">
        <f>IF(OR(NOT(ISNUMBER($C531)),$A532=""),"",$C531+N($E530))</f>
      </c>
      <c r="F531" s="13">
        <f>IF(NOT(ISNUMBER($E531)),"",IF($E531-$C531&lt;0.8,"A",IF($E531-$C531&lt;0.95,"B","C")))</f>
      </c>
    </row>
    <row r="532">
      <c r="E532" s="12">
        <f>IF(OR(NOT(ISNUMBER($C532)),$A533=""),"",$C532+N($E531))</f>
      </c>
      <c r="F532" s="13">
        <f>IF(NOT(ISNUMBER($E532)),"",IF($E532-$C532&lt;0.8,"A",IF($E532-$C532&lt;0.95,"B","C")))</f>
      </c>
    </row>
    <row r="533">
      <c r="E533" s="12">
        <f>IF(OR(NOT(ISNUMBER($C533)),$A534=""),"",$C533+N($E532))</f>
      </c>
      <c r="F533" s="13">
        <f>IF(NOT(ISNUMBER($E533)),"",IF($E533-$C533&lt;0.8,"A",IF($E533-$C533&lt;0.95,"B","C")))</f>
      </c>
    </row>
    <row r="534">
      <c r="E534" s="12">
        <f>IF(OR(NOT(ISNUMBER($C534)),$A535=""),"",$C534+N($E533))</f>
      </c>
      <c r="F534" s="13">
        <f>IF(NOT(ISNUMBER($E534)),"",IF($E534-$C534&lt;0.8,"A",IF($E534-$C534&lt;0.95,"B","C")))</f>
      </c>
    </row>
    <row r="535">
      <c r="E535" s="12">
        <f>IF(OR(NOT(ISNUMBER($C535)),$A536=""),"",$C535+N($E534))</f>
      </c>
      <c r="F535" s="13">
        <f>IF(NOT(ISNUMBER($E535)),"",IF($E535-$C535&lt;0.8,"A",IF($E535-$C535&lt;0.95,"B","C")))</f>
      </c>
    </row>
    <row r="536">
      <c r="E536" s="12">
        <f>IF(OR(NOT(ISNUMBER($C536)),$A537=""),"",$C536+N($E535))</f>
      </c>
      <c r="F536" s="13">
        <f>IF(NOT(ISNUMBER($E536)),"",IF($E536-$C536&lt;0.8,"A",IF($E536-$C536&lt;0.95,"B","C")))</f>
      </c>
    </row>
    <row r="537">
      <c r="E537" s="12">
        <f>IF(OR(NOT(ISNUMBER($C537)),$A538=""),"",$C537+N($E536))</f>
      </c>
      <c r="F537" s="13">
        <f>IF(NOT(ISNUMBER($E537)),"",IF($E537-$C537&lt;0.8,"A",IF($E537-$C537&lt;0.95,"B","C")))</f>
      </c>
    </row>
    <row r="538">
      <c r="E538" s="12">
        <f>IF(OR(NOT(ISNUMBER($C538)),$A539=""),"",$C538+N($E537))</f>
      </c>
      <c r="F538" s="13">
        <f>IF(NOT(ISNUMBER($E538)),"",IF($E538-$C538&lt;0.8,"A",IF($E538-$C538&lt;0.95,"B","C")))</f>
      </c>
    </row>
    <row r="539">
      <c r="E539" s="12">
        <f>IF(OR(NOT(ISNUMBER($C539)),$A540=""),"",$C539+N($E538))</f>
      </c>
      <c r="F539" s="13">
        <f>IF(NOT(ISNUMBER($E539)),"",IF($E539-$C539&lt;0.8,"A",IF($E539-$C539&lt;0.95,"B","C")))</f>
      </c>
    </row>
    <row r="540">
      <c r="E540" s="12">
        <f>IF(OR(NOT(ISNUMBER($C540)),$A541=""),"",$C540+N($E539))</f>
      </c>
      <c r="F540" s="13">
        <f>IF(NOT(ISNUMBER($E540)),"",IF($E540-$C540&lt;0.8,"A",IF($E540-$C540&lt;0.95,"B","C")))</f>
      </c>
    </row>
    <row r="541">
      <c r="E541" s="12">
        <f>IF(OR(NOT(ISNUMBER($C541)),$A542=""),"",$C541+N($E540))</f>
      </c>
      <c r="F541" s="13">
        <f>IF(NOT(ISNUMBER($E541)),"",IF($E541-$C541&lt;0.8,"A",IF($E541-$C541&lt;0.95,"B","C")))</f>
      </c>
    </row>
    <row r="542">
      <c r="E542" s="12">
        <f>IF(OR(NOT(ISNUMBER($C542)),$A543=""),"",$C542+N($E541))</f>
      </c>
      <c r="F542" s="13">
        <f>IF(NOT(ISNUMBER($E542)),"",IF($E542-$C542&lt;0.8,"A",IF($E542-$C542&lt;0.95,"B","C")))</f>
      </c>
    </row>
    <row r="543">
      <c r="E543" s="12">
        <f>IF(OR(NOT(ISNUMBER($C543)),$A544=""),"",$C543+N($E542))</f>
      </c>
      <c r="F543" s="13">
        <f>IF(NOT(ISNUMBER($E543)),"",IF($E543-$C543&lt;0.8,"A",IF($E543-$C543&lt;0.95,"B","C")))</f>
      </c>
    </row>
    <row r="544">
      <c r="E544" s="12">
        <f>IF(OR(NOT(ISNUMBER($C544)),$A545=""),"",$C544+N($E543))</f>
      </c>
      <c r="F544" s="13">
        <f>IF(NOT(ISNUMBER($E544)),"",IF($E544-$C544&lt;0.8,"A",IF($E544-$C544&lt;0.95,"B","C")))</f>
      </c>
    </row>
    <row r="545">
      <c r="E545" s="12">
        <f>IF(OR(NOT(ISNUMBER($C545)),$A546=""),"",$C545+N($E544))</f>
      </c>
      <c r="F545" s="13">
        <f>IF(NOT(ISNUMBER($E545)),"",IF($E545-$C545&lt;0.8,"A",IF($E545-$C545&lt;0.95,"B","C")))</f>
      </c>
    </row>
    <row r="546">
      <c r="E546" s="12">
        <f>IF(OR(NOT(ISNUMBER($C546)),$A547=""),"",$C546+N($E545))</f>
      </c>
      <c r="F546" s="13">
        <f>IF(NOT(ISNUMBER($E546)),"",IF($E546-$C546&lt;0.8,"A",IF($E546-$C546&lt;0.95,"B","C")))</f>
      </c>
    </row>
    <row r="547">
      <c r="E547" s="12">
        <f>IF(OR(NOT(ISNUMBER($C547)),$A548=""),"",$C547+N($E546))</f>
      </c>
      <c r="F547" s="13">
        <f>IF(NOT(ISNUMBER($E547)),"",IF($E547-$C547&lt;0.8,"A",IF($E547-$C547&lt;0.95,"B","C")))</f>
      </c>
    </row>
    <row r="548">
      <c r="E548" s="12">
        <f>IF(OR(NOT(ISNUMBER($C548)),$A549=""),"",$C548+N($E547))</f>
      </c>
      <c r="F548" s="13">
        <f>IF(NOT(ISNUMBER($E548)),"",IF($E548-$C548&lt;0.8,"A",IF($E548-$C548&lt;0.95,"B","C")))</f>
      </c>
    </row>
    <row r="549">
      <c r="E549" s="12">
        <f>IF(OR(NOT(ISNUMBER($C549)),$A550=""),"",$C549+N($E548))</f>
      </c>
      <c r="F549" s="13">
        <f>IF(NOT(ISNUMBER($E549)),"",IF($E549-$C549&lt;0.8,"A",IF($E549-$C549&lt;0.95,"B","C")))</f>
      </c>
    </row>
    <row r="550">
      <c r="E550" s="12">
        <f>IF(OR(NOT(ISNUMBER($C550)),$A551=""),"",$C550+N($E549))</f>
      </c>
      <c r="F550" s="13">
        <f>IF(NOT(ISNUMBER($E550)),"",IF($E550-$C550&lt;0.8,"A",IF($E550-$C550&lt;0.95,"B","C")))</f>
      </c>
    </row>
    <row r="551">
      <c r="E551" s="12">
        <f>IF(OR(NOT(ISNUMBER($C551)),$A552=""),"",$C551+N($E550))</f>
      </c>
      <c r="F551" s="13">
        <f>IF(NOT(ISNUMBER($E551)),"",IF($E551-$C551&lt;0.8,"A",IF($E551-$C551&lt;0.95,"B","C")))</f>
      </c>
    </row>
    <row r="552">
      <c r="E552" s="12">
        <f>IF(OR(NOT(ISNUMBER($C552)),$A553=""),"",$C552+N($E551))</f>
      </c>
      <c r="F552" s="13">
        <f>IF(NOT(ISNUMBER($E552)),"",IF($E552-$C552&lt;0.8,"A",IF($E552-$C552&lt;0.95,"B","C")))</f>
      </c>
    </row>
    <row r="553">
      <c r="E553" s="12">
        <f>IF(OR(NOT(ISNUMBER($C553)),$A554=""),"",$C553+N($E552))</f>
      </c>
      <c r="F553" s="13">
        <f>IF(NOT(ISNUMBER($E553)),"",IF($E553-$C553&lt;0.8,"A",IF($E553-$C553&lt;0.95,"B","C")))</f>
      </c>
    </row>
    <row r="554">
      <c r="E554" s="12">
        <f>IF(OR(NOT(ISNUMBER($C554)),$A555=""),"",$C554+N($E553))</f>
      </c>
      <c r="F554" s="13">
        <f>IF(NOT(ISNUMBER($E554)),"",IF($E554-$C554&lt;0.8,"A",IF($E554-$C554&lt;0.95,"B","C")))</f>
      </c>
    </row>
    <row r="555">
      <c r="E555" s="12">
        <f>IF(OR(NOT(ISNUMBER($C555)),$A556=""),"",$C555+N($E554))</f>
      </c>
      <c r="F555" s="13">
        <f>IF(NOT(ISNUMBER($E555)),"",IF($E555-$C555&lt;0.8,"A",IF($E555-$C555&lt;0.95,"B","C")))</f>
      </c>
    </row>
    <row r="556">
      <c r="E556" s="12">
        <f>IF(OR(NOT(ISNUMBER($C556)),$A557=""),"",$C556+N($E555))</f>
      </c>
      <c r="F556" s="13">
        <f>IF(NOT(ISNUMBER($E556)),"",IF($E556-$C556&lt;0.8,"A",IF($E556-$C556&lt;0.95,"B","C")))</f>
      </c>
    </row>
    <row r="557">
      <c r="E557" s="12">
        <f>IF(OR(NOT(ISNUMBER($C557)),$A558=""),"",$C557+N($E556))</f>
      </c>
      <c r="F557" s="13">
        <f>IF(NOT(ISNUMBER($E557)),"",IF($E557-$C557&lt;0.8,"A",IF($E557-$C557&lt;0.95,"B","C")))</f>
      </c>
    </row>
    <row r="558">
      <c r="E558" s="12">
        <f>IF(OR(NOT(ISNUMBER($C558)),$A559=""),"",$C558+N($E557))</f>
      </c>
      <c r="F558" s="13">
        <f>IF(NOT(ISNUMBER($E558)),"",IF($E558-$C558&lt;0.8,"A",IF($E558-$C558&lt;0.95,"B","C")))</f>
      </c>
    </row>
    <row r="559">
      <c r="E559" s="12">
        <f>IF(OR(NOT(ISNUMBER($C559)),$A560=""),"",$C559+N($E558))</f>
      </c>
      <c r="F559" s="13">
        <f>IF(NOT(ISNUMBER($E559)),"",IF($E559-$C559&lt;0.8,"A",IF($E559-$C559&lt;0.95,"B","C")))</f>
      </c>
    </row>
    <row r="560">
      <c r="E560" s="12">
        <f>IF(OR(NOT(ISNUMBER($C560)),$A561=""),"",$C560+N($E559))</f>
      </c>
      <c r="F560" s="13">
        <f>IF(NOT(ISNUMBER($E560)),"",IF($E560-$C560&lt;0.8,"A",IF($E560-$C560&lt;0.95,"B","C")))</f>
      </c>
    </row>
    <row r="561">
      <c r="E561" s="12">
        <f>IF(OR(NOT(ISNUMBER($C561)),$A562=""),"",$C561+N($E560))</f>
      </c>
      <c r="F561" s="13">
        <f>IF(NOT(ISNUMBER($E561)),"",IF($E561-$C561&lt;0.8,"A",IF($E561-$C561&lt;0.95,"B","C")))</f>
      </c>
    </row>
    <row r="562">
      <c r="E562" s="12">
        <f>IF(OR(NOT(ISNUMBER($C562)),$A563=""),"",$C562+N($E561))</f>
      </c>
      <c r="F562" s="13">
        <f>IF(NOT(ISNUMBER($E562)),"",IF($E562-$C562&lt;0.8,"A",IF($E562-$C562&lt;0.95,"B","C")))</f>
      </c>
    </row>
    <row r="563">
      <c r="E563" s="12">
        <f>IF(OR(NOT(ISNUMBER($C563)),$A564=""),"",$C563+N($E562))</f>
      </c>
      <c r="F563" s="13">
        <f>IF(NOT(ISNUMBER($E563)),"",IF($E563-$C563&lt;0.8,"A",IF($E563-$C563&lt;0.95,"B","C")))</f>
      </c>
    </row>
    <row r="564">
      <c r="E564" s="12">
        <f>IF(OR(NOT(ISNUMBER($C564)),$A565=""),"",$C564+N($E563))</f>
      </c>
      <c r="F564" s="13">
        <f>IF(NOT(ISNUMBER($E564)),"",IF($E564-$C564&lt;0.8,"A",IF($E564-$C564&lt;0.95,"B","C")))</f>
      </c>
    </row>
    <row r="565">
      <c r="E565" s="12">
        <f>IF(OR(NOT(ISNUMBER($C565)),$A566=""),"",$C565+N($E564))</f>
      </c>
      <c r="F565" s="13">
        <f>IF(NOT(ISNUMBER($E565)),"",IF($E565-$C565&lt;0.8,"A",IF($E565-$C565&lt;0.95,"B","C")))</f>
      </c>
    </row>
    <row r="566">
      <c r="E566" s="12">
        <f>IF(OR(NOT(ISNUMBER($C566)),$A567=""),"",$C566+N($E565))</f>
      </c>
      <c r="F566" s="13">
        <f>IF(NOT(ISNUMBER($E566)),"",IF($E566-$C566&lt;0.8,"A",IF($E566-$C566&lt;0.95,"B","C")))</f>
      </c>
    </row>
    <row r="567">
      <c r="E567" s="12">
        <f>IF(OR(NOT(ISNUMBER($C567)),$A568=""),"",$C567+N($E566))</f>
      </c>
      <c r="F567" s="13">
        <f>IF(NOT(ISNUMBER($E567)),"",IF($E567-$C567&lt;0.8,"A",IF($E567-$C567&lt;0.95,"B","C")))</f>
      </c>
    </row>
    <row r="568">
      <c r="E568" s="12">
        <f>IF(OR(NOT(ISNUMBER($C568)),$A569=""),"",$C568+N($E567))</f>
      </c>
      <c r="F568" s="13">
        <f>IF(NOT(ISNUMBER($E568)),"",IF($E568-$C568&lt;0.8,"A",IF($E568-$C568&lt;0.95,"B","C")))</f>
      </c>
    </row>
    <row r="569">
      <c r="E569" s="12">
        <f>IF(OR(NOT(ISNUMBER($C569)),$A570=""),"",$C569+N($E568))</f>
      </c>
      <c r="F569" s="13">
        <f>IF(NOT(ISNUMBER($E569)),"",IF($E569-$C569&lt;0.8,"A",IF($E569-$C569&lt;0.95,"B","C")))</f>
      </c>
    </row>
    <row r="570">
      <c r="E570" s="12">
        <f>IF(OR(NOT(ISNUMBER($C570)),$A571=""),"",$C570+N($E569))</f>
      </c>
      <c r="F570" s="13">
        <f>IF(NOT(ISNUMBER($E570)),"",IF($E570-$C570&lt;0.8,"A",IF($E570-$C570&lt;0.95,"B","C")))</f>
      </c>
    </row>
    <row r="571">
      <c r="E571" s="12">
        <f>IF(OR(NOT(ISNUMBER($C571)),$A572=""),"",$C571+N($E570))</f>
      </c>
      <c r="F571" s="13">
        <f>IF(NOT(ISNUMBER($E571)),"",IF($E571-$C571&lt;0.8,"A",IF($E571-$C571&lt;0.95,"B","C")))</f>
      </c>
    </row>
    <row r="572">
      <c r="E572" s="12">
        <f>IF(OR(NOT(ISNUMBER($C572)),$A573=""),"",$C572+N($E571))</f>
      </c>
      <c r="F572" s="13">
        <f>IF(NOT(ISNUMBER($E572)),"",IF($E572-$C572&lt;0.8,"A",IF($E572-$C572&lt;0.95,"B","C")))</f>
      </c>
    </row>
    <row r="573">
      <c r="E573" s="12">
        <f>IF(OR(NOT(ISNUMBER($C573)),$A574=""),"",$C573+N($E572))</f>
      </c>
      <c r="F573" s="13">
        <f>IF(NOT(ISNUMBER($E573)),"",IF($E573-$C573&lt;0.8,"A",IF($E573-$C573&lt;0.95,"B","C")))</f>
      </c>
    </row>
    <row r="574">
      <c r="E574" s="12">
        <f>IF(OR(NOT(ISNUMBER($C574)),$A575=""),"",$C574+N($E573))</f>
      </c>
      <c r="F574" s="13">
        <f>IF(NOT(ISNUMBER($E574)),"",IF($E574-$C574&lt;0.8,"A",IF($E574-$C574&lt;0.95,"B","C")))</f>
      </c>
    </row>
    <row r="575">
      <c r="E575" s="12">
        <f>IF(OR(NOT(ISNUMBER($C575)),$A576=""),"",$C575+N($E574))</f>
      </c>
      <c r="F575" s="13">
        <f>IF(NOT(ISNUMBER($E575)),"",IF($E575-$C575&lt;0.8,"A",IF($E575-$C575&lt;0.95,"B","C")))</f>
      </c>
    </row>
    <row r="576">
      <c r="E576" s="12">
        <f>IF(OR(NOT(ISNUMBER($C576)),$A577=""),"",$C576+N($E575))</f>
      </c>
      <c r="F576" s="13">
        <f>IF(NOT(ISNUMBER($E576)),"",IF($E576-$C576&lt;0.8,"A",IF($E576-$C576&lt;0.95,"B","C")))</f>
      </c>
    </row>
    <row r="577">
      <c r="E577" s="12">
        <f>IF(OR(NOT(ISNUMBER($C577)),$A578=""),"",$C577+N($E576))</f>
      </c>
      <c r="F577" s="13">
        <f>IF(NOT(ISNUMBER($E577)),"",IF($E577-$C577&lt;0.8,"A",IF($E577-$C577&lt;0.95,"B","C")))</f>
      </c>
    </row>
    <row r="578">
      <c r="E578" s="12">
        <f>IF(OR(NOT(ISNUMBER($C578)),$A579=""),"",$C578+N($E577))</f>
      </c>
      <c r="F578" s="13">
        <f>IF(NOT(ISNUMBER($E578)),"",IF($E578-$C578&lt;0.8,"A",IF($E578-$C578&lt;0.95,"B","C")))</f>
      </c>
    </row>
    <row r="579">
      <c r="E579" s="12">
        <f>IF(OR(NOT(ISNUMBER($C579)),$A580=""),"",$C579+N($E578))</f>
      </c>
      <c r="F579" s="13">
        <f>IF(NOT(ISNUMBER($E579)),"",IF($E579-$C579&lt;0.8,"A",IF($E579-$C579&lt;0.95,"B","C")))</f>
      </c>
    </row>
    <row r="580">
      <c r="E580" s="12">
        <f>IF(OR(NOT(ISNUMBER($C580)),$A581=""),"",$C580+N($E579))</f>
      </c>
      <c r="F580" s="13">
        <f>IF(NOT(ISNUMBER($E580)),"",IF($E580-$C580&lt;0.8,"A",IF($E580-$C580&lt;0.95,"B","C")))</f>
      </c>
    </row>
    <row r="581">
      <c r="E581" s="12">
        <f>IF(OR(NOT(ISNUMBER($C581)),$A582=""),"",$C581+N($E580))</f>
      </c>
      <c r="F581" s="13">
        <f>IF(NOT(ISNUMBER($E581)),"",IF($E581-$C581&lt;0.8,"A",IF($E581-$C581&lt;0.95,"B","C")))</f>
      </c>
    </row>
    <row r="582">
      <c r="E582" s="12">
        <f>IF(OR(NOT(ISNUMBER($C582)),$A583=""),"",$C582+N($E581))</f>
      </c>
      <c r="F582" s="13">
        <f>IF(NOT(ISNUMBER($E582)),"",IF($E582-$C582&lt;0.8,"A",IF($E582-$C582&lt;0.95,"B","C")))</f>
      </c>
    </row>
    <row r="583">
      <c r="E583" s="12">
        <f>IF(OR(NOT(ISNUMBER($C583)),$A584=""),"",$C583+N($E582))</f>
      </c>
      <c r="F583" s="13">
        <f>IF(NOT(ISNUMBER($E583)),"",IF($E583-$C583&lt;0.8,"A",IF($E583-$C583&lt;0.95,"B","C")))</f>
      </c>
    </row>
    <row r="584">
      <c r="E584" s="12">
        <f>IF(OR(NOT(ISNUMBER($C584)),$A585=""),"",$C584+N($E583))</f>
      </c>
      <c r="F584" s="13">
        <f>IF(NOT(ISNUMBER($E584)),"",IF($E584-$C584&lt;0.8,"A",IF($E584-$C584&lt;0.95,"B","C")))</f>
      </c>
    </row>
    <row r="585">
      <c r="E585" s="12">
        <f>IF(OR(NOT(ISNUMBER($C585)),$A586=""),"",$C585+N($E584))</f>
      </c>
      <c r="F585" s="13">
        <f>IF(NOT(ISNUMBER($E585)),"",IF($E585-$C585&lt;0.8,"A",IF($E585-$C585&lt;0.95,"B","C")))</f>
      </c>
    </row>
    <row r="586">
      <c r="E586" s="12">
        <f>IF(OR(NOT(ISNUMBER($C586)),$A587=""),"",$C586+N($E585))</f>
      </c>
      <c r="F586" s="13">
        <f>IF(NOT(ISNUMBER($E586)),"",IF($E586-$C586&lt;0.8,"A",IF($E586-$C586&lt;0.95,"B","C")))</f>
      </c>
    </row>
    <row r="587">
      <c r="E587" s="12">
        <f>IF(OR(NOT(ISNUMBER($C587)),$A588=""),"",$C587+N($E586))</f>
      </c>
      <c r="F587" s="13">
        <f>IF(NOT(ISNUMBER($E587)),"",IF($E587-$C587&lt;0.8,"A",IF($E587-$C587&lt;0.95,"B","C")))</f>
      </c>
    </row>
    <row r="588">
      <c r="E588" s="12">
        <f>IF(OR(NOT(ISNUMBER($C588)),$A589=""),"",$C588+N($E587))</f>
      </c>
      <c r="F588" s="13">
        <f>IF(NOT(ISNUMBER($E588)),"",IF($E588-$C588&lt;0.8,"A",IF($E588-$C588&lt;0.95,"B","C")))</f>
      </c>
    </row>
    <row r="589">
      <c r="E589" s="12">
        <f>IF(OR(NOT(ISNUMBER($C589)),$A590=""),"",$C589+N($E588))</f>
      </c>
      <c r="F589" s="13">
        <f>IF(NOT(ISNUMBER($E589)),"",IF($E589-$C589&lt;0.8,"A",IF($E589-$C589&lt;0.95,"B","C")))</f>
      </c>
    </row>
    <row r="590">
      <c r="E590" s="12">
        <f>IF(OR(NOT(ISNUMBER($C590)),$A591=""),"",$C590+N($E589))</f>
      </c>
      <c r="F590" s="13">
        <f>IF(NOT(ISNUMBER($E590)),"",IF($E590-$C590&lt;0.8,"A",IF($E590-$C590&lt;0.95,"B","C")))</f>
      </c>
    </row>
    <row r="591">
      <c r="E591" s="12">
        <f>IF(OR(NOT(ISNUMBER($C591)),$A592=""),"",$C591+N($E590))</f>
      </c>
      <c r="F591" s="13">
        <f>IF(NOT(ISNUMBER($E591)),"",IF($E591-$C591&lt;0.8,"A",IF($E591-$C591&lt;0.95,"B","C")))</f>
      </c>
    </row>
    <row r="592">
      <c r="E592" s="12">
        <f>IF(OR(NOT(ISNUMBER($C592)),$A593=""),"",$C592+N($E591))</f>
      </c>
      <c r="F592" s="13">
        <f>IF(NOT(ISNUMBER($E592)),"",IF($E592-$C592&lt;0.8,"A",IF($E592-$C592&lt;0.95,"B","C")))</f>
      </c>
    </row>
    <row r="593">
      <c r="E593" s="12">
        <f>IF(OR(NOT(ISNUMBER($C593)),$A594=""),"",$C593+N($E592))</f>
      </c>
      <c r="F593" s="13">
        <f>IF(NOT(ISNUMBER($E593)),"",IF($E593-$C593&lt;0.8,"A",IF($E593-$C593&lt;0.95,"B","C")))</f>
      </c>
    </row>
    <row r="594">
      <c r="E594" s="12">
        <f>IF(OR(NOT(ISNUMBER($C594)),$A595=""),"",$C594+N($E593))</f>
      </c>
      <c r="F594" s="13">
        <f>IF(NOT(ISNUMBER($E594)),"",IF($E594-$C594&lt;0.8,"A",IF($E594-$C594&lt;0.95,"B","C")))</f>
      </c>
    </row>
    <row r="595">
      <c r="E595" s="12">
        <f>IF(OR(NOT(ISNUMBER($C595)),$A596=""),"",$C595+N($E594))</f>
      </c>
      <c r="F595" s="13">
        <f>IF(NOT(ISNUMBER($E595)),"",IF($E595-$C595&lt;0.8,"A",IF($E595-$C595&lt;0.95,"B","C")))</f>
      </c>
    </row>
    <row r="596">
      <c r="E596" s="12">
        <f>IF(OR(NOT(ISNUMBER($C596)),$A597=""),"",$C596+N($E595))</f>
      </c>
      <c r="F596" s="13">
        <f>IF(NOT(ISNUMBER($E596)),"",IF($E596-$C596&lt;0.8,"A",IF($E596-$C596&lt;0.95,"B","C")))</f>
      </c>
    </row>
    <row r="597">
      <c r="E597" s="12">
        <f>IF(OR(NOT(ISNUMBER($C597)),$A598=""),"",$C597+N($E596))</f>
      </c>
      <c r="F597" s="13">
        <f>IF(NOT(ISNUMBER($E597)),"",IF($E597-$C597&lt;0.8,"A",IF($E597-$C597&lt;0.95,"B","C")))</f>
      </c>
    </row>
    <row r="598">
      <c r="E598" s="12">
        <f>IF(OR(NOT(ISNUMBER($C598)),$A599=""),"",$C598+N($E597))</f>
      </c>
      <c r="F598" s="13">
        <f>IF(NOT(ISNUMBER($E598)),"",IF($E598-$C598&lt;0.8,"A",IF($E598-$C598&lt;0.95,"B","C")))</f>
      </c>
    </row>
    <row r="599">
      <c r="E599" s="12">
        <f>IF(OR(NOT(ISNUMBER($C599)),$A600=""),"",$C599+N($E598))</f>
      </c>
      <c r="F599" s="13">
        <f>IF(NOT(ISNUMBER($E599)),"",IF($E599-$C599&lt;0.8,"A",IF($E599-$C599&lt;0.95,"B","C")))</f>
      </c>
    </row>
    <row r="600">
      <c r="E600" s="12">
        <f>IF(OR(NOT(ISNUMBER($C600)),$A601=""),"",$C600+N($E599))</f>
      </c>
      <c r="F600" s="13">
        <f>IF(NOT(ISNUMBER($E600)),"",IF($E600-$C600&lt;0.8,"A",IF($E600-$C600&lt;0.95,"B","C")))</f>
      </c>
    </row>
    <row r="601">
      <c r="E601" s="12">
        <f>IF(OR(NOT(ISNUMBER($C601)),$A602=""),"",$C601+N($E600))</f>
      </c>
      <c r="F601" s="13">
        <f>IF(NOT(ISNUMBER($E601)),"",IF($E601-$C601&lt;0.8,"A",IF($E601-$C601&lt;0.95,"B","C")))</f>
      </c>
    </row>
    <row r="602">
      <c r="E602" s="12">
        <f>IF(OR(NOT(ISNUMBER($C602)),$A603=""),"",$C602+N($E601))</f>
      </c>
      <c r="F602" s="13">
        <f>IF(NOT(ISNUMBER($E602)),"",IF($E602-$C602&lt;0.8,"A",IF($E602-$C602&lt;0.95,"B","C")))</f>
      </c>
    </row>
    <row r="603">
      <c r="E603" s="12">
        <f>IF(OR(NOT(ISNUMBER($C603)),$A604=""),"",$C603+N($E602))</f>
      </c>
      <c r="F603" s="13">
        <f>IF(NOT(ISNUMBER($E603)),"",IF($E603-$C603&lt;0.8,"A",IF($E603-$C603&lt;0.95,"B","C")))</f>
      </c>
    </row>
    <row r="604">
      <c r="E604" s="12">
        <f>IF(OR(NOT(ISNUMBER($C604)),$A605=""),"",$C604+N($E603))</f>
      </c>
      <c r="F604" s="13">
        <f>IF(NOT(ISNUMBER($E604)),"",IF($E604-$C604&lt;0.8,"A",IF($E604-$C604&lt;0.95,"B","C")))</f>
      </c>
    </row>
    <row r="605">
      <c r="E605" s="12">
        <f>IF(OR(NOT(ISNUMBER($C605)),$A606=""),"",$C605+N($E604))</f>
      </c>
      <c r="F605" s="13">
        <f>IF(NOT(ISNUMBER($E605)),"",IF($E605-$C605&lt;0.8,"A",IF($E605-$C605&lt;0.95,"B","C")))</f>
      </c>
    </row>
    <row r="606">
      <c r="E606" s="12">
        <f>IF(OR(NOT(ISNUMBER($C606)),$A607=""),"",$C606+N($E605))</f>
      </c>
      <c r="F606" s="13">
        <f>IF(NOT(ISNUMBER($E606)),"",IF($E606-$C606&lt;0.8,"A",IF($E606-$C606&lt;0.95,"B","C")))</f>
      </c>
    </row>
    <row r="607">
      <c r="E607" s="12">
        <f>IF(OR(NOT(ISNUMBER($C607)),$A608=""),"",$C607+N($E606))</f>
      </c>
      <c r="F607" s="13">
        <f>IF(NOT(ISNUMBER($E607)),"",IF($E607-$C607&lt;0.8,"A",IF($E607-$C607&lt;0.95,"B","C")))</f>
      </c>
    </row>
    <row r="608">
      <c r="E608" s="12">
        <f>IF(OR(NOT(ISNUMBER($C608)),$A609=""),"",$C608+N($E607))</f>
      </c>
      <c r="F608" s="13">
        <f>IF(NOT(ISNUMBER($E608)),"",IF($E608-$C608&lt;0.8,"A",IF($E608-$C608&lt;0.95,"B","C")))</f>
      </c>
    </row>
    <row r="609">
      <c r="E609" s="12">
        <f>IF(OR(NOT(ISNUMBER($C609)),$A610=""),"",$C609+N($E608))</f>
      </c>
      <c r="F609" s="13">
        <f>IF(NOT(ISNUMBER($E609)),"",IF($E609-$C609&lt;0.8,"A",IF($E609-$C609&lt;0.95,"B","C")))</f>
      </c>
    </row>
    <row r="610">
      <c r="E610" s="12">
        <f>IF(OR(NOT(ISNUMBER($C610)),$A611=""),"",$C610+N($E609))</f>
      </c>
      <c r="F610" s="13">
        <f>IF(NOT(ISNUMBER($E610)),"",IF($E610-$C610&lt;0.8,"A",IF($E610-$C610&lt;0.95,"B","C")))</f>
      </c>
    </row>
    <row r="611">
      <c r="E611" s="12">
        <f>IF(OR(NOT(ISNUMBER($C611)),$A612=""),"",$C611+N($E610))</f>
      </c>
      <c r="F611" s="13">
        <f>IF(NOT(ISNUMBER($E611)),"",IF($E611-$C611&lt;0.8,"A",IF($E611-$C611&lt;0.95,"B","C")))</f>
      </c>
    </row>
    <row r="612">
      <c r="E612" s="12">
        <f>IF(OR(NOT(ISNUMBER($C612)),$A613=""),"",$C612+N($E611))</f>
      </c>
      <c r="F612" s="13">
        <f>IF(NOT(ISNUMBER($E612)),"",IF($E612-$C612&lt;0.8,"A",IF($E612-$C612&lt;0.95,"B","C")))</f>
      </c>
    </row>
    <row r="613">
      <c r="E613" s="12">
        <f>IF(OR(NOT(ISNUMBER($C613)),$A614=""),"",$C613+N($E612))</f>
      </c>
      <c r="F613" s="13">
        <f>IF(NOT(ISNUMBER($E613)),"",IF($E613-$C613&lt;0.8,"A",IF($E613-$C613&lt;0.95,"B","C")))</f>
      </c>
    </row>
    <row r="614">
      <c r="E614" s="12">
        <f>IF(OR(NOT(ISNUMBER($C614)),$A615=""),"",$C614+N($E613))</f>
      </c>
      <c r="F614" s="13">
        <f>IF(NOT(ISNUMBER($E614)),"",IF($E614-$C614&lt;0.8,"A",IF($E614-$C614&lt;0.95,"B","C")))</f>
      </c>
    </row>
    <row r="615">
      <c r="E615" s="12">
        <f>IF(OR(NOT(ISNUMBER($C615)),$A616=""),"",$C615+N($E614))</f>
      </c>
      <c r="F615" s="13">
        <f>IF(NOT(ISNUMBER($E615)),"",IF($E615-$C615&lt;0.8,"A",IF($E615-$C615&lt;0.95,"B","C")))</f>
      </c>
    </row>
    <row r="616">
      <c r="E616" s="12">
        <f>IF(OR(NOT(ISNUMBER($C616)),$A617=""),"",$C616+N($E615))</f>
      </c>
      <c r="F616" s="13">
        <f>IF(NOT(ISNUMBER($E616)),"",IF($E616-$C616&lt;0.8,"A",IF($E616-$C616&lt;0.95,"B","C")))</f>
      </c>
    </row>
    <row r="617">
      <c r="E617" s="12">
        <f>IF(OR(NOT(ISNUMBER($C617)),$A618=""),"",$C617+N($E616))</f>
      </c>
      <c r="F617" s="13">
        <f>IF(NOT(ISNUMBER($E617)),"",IF($E617-$C617&lt;0.8,"A",IF($E617-$C617&lt;0.95,"B","C")))</f>
      </c>
    </row>
    <row r="618">
      <c r="E618" s="12">
        <f>IF(OR(NOT(ISNUMBER($C618)),$A619=""),"",$C618+N($E617))</f>
      </c>
      <c r="F618" s="13">
        <f>IF(NOT(ISNUMBER($E618)),"",IF($E618-$C618&lt;0.8,"A",IF($E618-$C618&lt;0.95,"B","C")))</f>
      </c>
    </row>
    <row r="619">
      <c r="E619" s="12">
        <f>IF(OR(NOT(ISNUMBER($C619)),$A620=""),"",$C619+N($E618))</f>
      </c>
      <c r="F619" s="13">
        <f>IF(NOT(ISNUMBER($E619)),"",IF($E619-$C619&lt;0.8,"A",IF($E619-$C619&lt;0.95,"B","C")))</f>
      </c>
    </row>
    <row r="620">
      <c r="E620" s="12">
        <f>IF(OR(NOT(ISNUMBER($C620)),$A621=""),"",$C620+N($E619))</f>
      </c>
      <c r="F620" s="13">
        <f>IF(NOT(ISNUMBER($E620)),"",IF($E620-$C620&lt;0.8,"A",IF($E620-$C620&lt;0.95,"B","C")))</f>
      </c>
    </row>
    <row r="621">
      <c r="E621" s="12">
        <f>IF(OR(NOT(ISNUMBER($C621)),$A622=""),"",$C621+N($E620))</f>
      </c>
      <c r="F621" s="13">
        <f>IF(NOT(ISNUMBER($E621)),"",IF($E621-$C621&lt;0.8,"A",IF($E621-$C621&lt;0.95,"B","C")))</f>
      </c>
    </row>
    <row r="622">
      <c r="E622" s="12">
        <f>IF(OR(NOT(ISNUMBER($C622)),$A623=""),"",$C622+N($E621))</f>
      </c>
      <c r="F622" s="13">
        <f>IF(NOT(ISNUMBER($E622)),"",IF($E622-$C622&lt;0.8,"A",IF($E622-$C622&lt;0.95,"B","C")))</f>
      </c>
    </row>
    <row r="623">
      <c r="E623" s="12">
        <f>IF(OR(NOT(ISNUMBER($C623)),$A624=""),"",$C623+N($E622))</f>
      </c>
      <c r="F623" s="13">
        <f>IF(NOT(ISNUMBER($E623)),"",IF($E623-$C623&lt;0.8,"A",IF($E623-$C623&lt;0.95,"B","C")))</f>
      </c>
    </row>
    <row r="624">
      <c r="E624" s="12">
        <f>IF(OR(NOT(ISNUMBER($C624)),$A625=""),"",$C624+N($E623))</f>
      </c>
      <c r="F624" s="13">
        <f>IF(NOT(ISNUMBER($E624)),"",IF($E624-$C624&lt;0.8,"A",IF($E624-$C624&lt;0.95,"B","C")))</f>
      </c>
    </row>
    <row r="625">
      <c r="E625" s="12">
        <f>IF(OR(NOT(ISNUMBER($C625)),$A626=""),"",$C625+N($E624))</f>
      </c>
      <c r="F625" s="13">
        <f>IF(NOT(ISNUMBER($E625)),"",IF($E625-$C625&lt;0.8,"A",IF($E625-$C625&lt;0.95,"B","C")))</f>
      </c>
    </row>
    <row r="626">
      <c r="E626" s="12">
        <f>IF(OR(NOT(ISNUMBER($C626)),$A627=""),"",$C626+N($E625))</f>
      </c>
      <c r="F626" s="13">
        <f>IF(NOT(ISNUMBER($E626)),"",IF($E626-$C626&lt;0.8,"A",IF($E626-$C626&lt;0.95,"B","C")))</f>
      </c>
    </row>
    <row r="627">
      <c r="E627" s="12">
        <f>IF(OR(NOT(ISNUMBER($C627)),$A628=""),"",$C627+N($E626))</f>
      </c>
      <c r="F627" s="13">
        <f>IF(NOT(ISNUMBER($E627)),"",IF($E627-$C627&lt;0.8,"A",IF($E627-$C627&lt;0.95,"B","C")))</f>
      </c>
    </row>
    <row r="628">
      <c r="E628" s="12">
        <f>IF(OR(NOT(ISNUMBER($C628)),$A629=""),"",$C628+N($E627))</f>
      </c>
      <c r="F628" s="13">
        <f>IF(NOT(ISNUMBER($E628)),"",IF($E628-$C628&lt;0.8,"A",IF($E628-$C628&lt;0.95,"B","C")))</f>
      </c>
    </row>
    <row r="629">
      <c r="E629" s="12">
        <f>IF(OR(NOT(ISNUMBER($C629)),$A630=""),"",$C629+N($E628))</f>
      </c>
      <c r="F629" s="13">
        <f>IF(NOT(ISNUMBER($E629)),"",IF($E629-$C629&lt;0.8,"A",IF($E629-$C629&lt;0.95,"B","C")))</f>
      </c>
    </row>
    <row r="630">
      <c r="E630" s="12">
        <f>IF(OR(NOT(ISNUMBER($C630)),$A631=""),"",$C630+N($E629))</f>
      </c>
      <c r="F630" s="13">
        <f>IF(NOT(ISNUMBER($E630)),"",IF($E630-$C630&lt;0.8,"A",IF($E630-$C630&lt;0.95,"B","C")))</f>
      </c>
    </row>
    <row r="631">
      <c r="E631" s="12">
        <f>IF(OR(NOT(ISNUMBER($C631)),$A632=""),"",$C631+N($E630))</f>
      </c>
      <c r="F631" s="13">
        <f>IF(NOT(ISNUMBER($E631)),"",IF($E631-$C631&lt;0.8,"A",IF($E631-$C631&lt;0.95,"B","C")))</f>
      </c>
    </row>
    <row r="632">
      <c r="E632" s="12">
        <f>IF(OR(NOT(ISNUMBER($C632)),$A633=""),"",$C632+N($E631))</f>
      </c>
      <c r="F632" s="13">
        <f>IF(NOT(ISNUMBER($E632)),"",IF($E632-$C632&lt;0.8,"A",IF($E632-$C632&lt;0.95,"B","C")))</f>
      </c>
    </row>
    <row r="633">
      <c r="E633" s="12">
        <f>IF(OR(NOT(ISNUMBER($C633)),$A634=""),"",$C633+N($E632))</f>
      </c>
      <c r="F633" s="13">
        <f>IF(NOT(ISNUMBER($E633)),"",IF($E633-$C633&lt;0.8,"A",IF($E633-$C633&lt;0.95,"B","C")))</f>
      </c>
    </row>
    <row r="634">
      <c r="E634" s="12">
        <f>IF(OR(NOT(ISNUMBER($C634)),$A635=""),"",$C634+N($E633))</f>
      </c>
      <c r="F634" s="13">
        <f>IF(NOT(ISNUMBER($E634)),"",IF($E634-$C634&lt;0.8,"A",IF($E634-$C634&lt;0.95,"B","C")))</f>
      </c>
    </row>
    <row r="635">
      <c r="E635" s="12">
        <f>IF(OR(NOT(ISNUMBER($C635)),$A636=""),"",$C635+N($E634))</f>
      </c>
      <c r="F635" s="13">
        <f>IF(NOT(ISNUMBER($E635)),"",IF($E635-$C635&lt;0.8,"A",IF($E635-$C635&lt;0.95,"B","C")))</f>
      </c>
    </row>
    <row r="636">
      <c r="E636" s="12">
        <f>IF(OR(NOT(ISNUMBER($C636)),$A637=""),"",$C636+N($E635))</f>
      </c>
      <c r="F636" s="13">
        <f>IF(NOT(ISNUMBER($E636)),"",IF($E636-$C636&lt;0.8,"A",IF($E636-$C636&lt;0.95,"B","C")))</f>
      </c>
    </row>
    <row r="637">
      <c r="E637" s="12">
        <f>IF(OR(NOT(ISNUMBER($C637)),$A638=""),"",$C637+N($E636))</f>
      </c>
      <c r="F637" s="13">
        <f>IF(NOT(ISNUMBER($E637)),"",IF($E637-$C637&lt;0.8,"A",IF($E637-$C637&lt;0.95,"B","C")))</f>
      </c>
    </row>
    <row r="638">
      <c r="E638" s="12">
        <f>IF(OR(NOT(ISNUMBER($C638)),$A639=""),"",$C638+N($E637))</f>
      </c>
      <c r="F638" s="13">
        <f>IF(NOT(ISNUMBER($E638)),"",IF($E638-$C638&lt;0.8,"A",IF($E638-$C638&lt;0.95,"B","C")))</f>
      </c>
    </row>
    <row r="639">
      <c r="E639" s="12">
        <f>IF(OR(NOT(ISNUMBER($C639)),$A640=""),"",$C639+N($E638))</f>
      </c>
      <c r="F639" s="13">
        <f>IF(NOT(ISNUMBER($E639)),"",IF($E639-$C639&lt;0.8,"A",IF($E639-$C639&lt;0.95,"B","C")))</f>
      </c>
    </row>
    <row r="640">
      <c r="E640" s="12">
        <f>IF(OR(NOT(ISNUMBER($C640)),$A641=""),"",$C640+N($E639))</f>
      </c>
      <c r="F640" s="13">
        <f>IF(NOT(ISNUMBER($E640)),"",IF($E640-$C640&lt;0.8,"A",IF($E640-$C640&lt;0.95,"B","C")))</f>
      </c>
    </row>
    <row r="641">
      <c r="E641" s="12">
        <f>IF(OR(NOT(ISNUMBER($C641)),$A642=""),"",$C641+N($E640))</f>
      </c>
      <c r="F641" s="13">
        <f>IF(NOT(ISNUMBER($E641)),"",IF($E641-$C641&lt;0.8,"A",IF($E641-$C641&lt;0.95,"B","C")))</f>
      </c>
    </row>
    <row r="642">
      <c r="E642" s="12">
        <f>IF(OR(NOT(ISNUMBER($C642)),$A643=""),"",$C642+N($E641))</f>
      </c>
      <c r="F642" s="13">
        <f>IF(NOT(ISNUMBER($E642)),"",IF($E642-$C642&lt;0.8,"A",IF($E642-$C642&lt;0.95,"B","C")))</f>
      </c>
    </row>
    <row r="643">
      <c r="E643" s="12">
        <f>IF(OR(NOT(ISNUMBER($C643)),$A644=""),"",$C643+N($E642))</f>
      </c>
      <c r="F643" s="13">
        <f>IF(NOT(ISNUMBER($E643)),"",IF($E643-$C643&lt;0.8,"A",IF($E643-$C643&lt;0.95,"B","C")))</f>
      </c>
    </row>
    <row r="644">
      <c r="E644" s="12">
        <f>IF(OR(NOT(ISNUMBER($C644)),$A645=""),"",$C644+N($E643))</f>
      </c>
      <c r="F644" s="13">
        <f>IF(NOT(ISNUMBER($E644)),"",IF($E644-$C644&lt;0.8,"A",IF($E644-$C644&lt;0.95,"B","C")))</f>
      </c>
    </row>
    <row r="645">
      <c r="E645" s="12">
        <f>IF(OR(NOT(ISNUMBER($C645)),$A646=""),"",$C645+N($E644))</f>
      </c>
      <c r="F645" s="13">
        <f>IF(NOT(ISNUMBER($E645)),"",IF($E645-$C645&lt;0.8,"A",IF($E645-$C645&lt;0.95,"B","C")))</f>
      </c>
    </row>
    <row r="646">
      <c r="E646" s="12">
        <f>IF(OR(NOT(ISNUMBER($C646)),$A647=""),"",$C646+N($E645))</f>
      </c>
      <c r="F646" s="13">
        <f>IF(NOT(ISNUMBER($E646)),"",IF($E646-$C646&lt;0.8,"A",IF($E646-$C646&lt;0.95,"B","C")))</f>
      </c>
    </row>
    <row r="647">
      <c r="E647" s="12">
        <f>IF(OR(NOT(ISNUMBER($C647)),$A648=""),"",$C647+N($E646))</f>
      </c>
      <c r="F647" s="13">
        <f>IF(NOT(ISNUMBER($E647)),"",IF($E647-$C647&lt;0.8,"A",IF($E647-$C647&lt;0.95,"B","C")))</f>
      </c>
    </row>
    <row r="648">
      <c r="E648" s="12">
        <f>IF(OR(NOT(ISNUMBER($C648)),$A649=""),"",$C648+N($E647))</f>
      </c>
      <c r="F648" s="13">
        <f>IF(NOT(ISNUMBER($E648)),"",IF($E648-$C648&lt;0.8,"A",IF($E648-$C648&lt;0.95,"B","C")))</f>
      </c>
    </row>
    <row r="649">
      <c r="E649" s="12">
        <f>IF(OR(NOT(ISNUMBER($C649)),$A650=""),"",$C649+N($E648))</f>
      </c>
      <c r="F649" s="13">
        <f>IF(NOT(ISNUMBER($E649)),"",IF($E649-$C649&lt;0.8,"A",IF($E649-$C649&lt;0.95,"B","C")))</f>
      </c>
    </row>
    <row r="650">
      <c r="E650" s="12">
        <f>IF(OR(NOT(ISNUMBER($C650)),$A651=""),"",$C650+N($E649))</f>
      </c>
      <c r="F650" s="13">
        <f>IF(NOT(ISNUMBER($E650)),"",IF($E650-$C650&lt;0.8,"A",IF($E650-$C650&lt;0.95,"B","C")))</f>
      </c>
    </row>
    <row r="651">
      <c r="E651" s="12">
        <f>IF(OR(NOT(ISNUMBER($C651)),$A652=""),"",$C651+N($E650))</f>
      </c>
      <c r="F651" s="13">
        <f>IF(NOT(ISNUMBER($E651)),"",IF($E651-$C651&lt;0.8,"A",IF($E651-$C651&lt;0.95,"B","C")))</f>
      </c>
    </row>
    <row r="652">
      <c r="E652" s="12">
        <f>IF(OR(NOT(ISNUMBER($C652)),$A653=""),"",$C652+N($E651))</f>
      </c>
      <c r="F652" s="13">
        <f>IF(NOT(ISNUMBER($E652)),"",IF($E652-$C652&lt;0.8,"A",IF($E652-$C652&lt;0.95,"B","C")))</f>
      </c>
    </row>
    <row r="653">
      <c r="E653" s="12">
        <f>IF(OR(NOT(ISNUMBER($C653)),$A654=""),"",$C653+N($E652))</f>
      </c>
      <c r="F653" s="13">
        <f>IF(NOT(ISNUMBER($E653)),"",IF($E653-$C653&lt;0.8,"A",IF($E653-$C653&lt;0.95,"B","C")))</f>
      </c>
    </row>
    <row r="654">
      <c r="E654" s="12">
        <f>IF(OR(NOT(ISNUMBER($C654)),$A655=""),"",$C654+N($E653))</f>
      </c>
      <c r="F654" s="13">
        <f>IF(NOT(ISNUMBER($E654)),"",IF($E654-$C654&lt;0.8,"A",IF($E654-$C654&lt;0.95,"B","C")))</f>
      </c>
    </row>
    <row r="655">
      <c r="E655" s="12">
        <f>IF(OR(NOT(ISNUMBER($C655)),$A656=""),"",$C655+N($E654))</f>
      </c>
      <c r="F655" s="13">
        <f>IF(NOT(ISNUMBER($E655)),"",IF($E655-$C655&lt;0.8,"A",IF($E655-$C655&lt;0.95,"B","C")))</f>
      </c>
    </row>
    <row r="656">
      <c r="E656" s="12">
        <f>IF(OR(NOT(ISNUMBER($C656)),$A657=""),"",$C656+N($E655))</f>
      </c>
      <c r="F656" s="13">
        <f>IF(NOT(ISNUMBER($E656)),"",IF($E656-$C656&lt;0.8,"A",IF($E656-$C656&lt;0.95,"B","C")))</f>
      </c>
    </row>
    <row r="657">
      <c r="E657" s="12">
        <f>IF(OR(NOT(ISNUMBER($C657)),$A658=""),"",$C657+N($E656))</f>
      </c>
      <c r="F657" s="13">
        <f>IF(NOT(ISNUMBER($E657)),"",IF($E657-$C657&lt;0.8,"A",IF($E657-$C657&lt;0.95,"B","C")))</f>
      </c>
    </row>
    <row r="658">
      <c r="E658" s="12">
        <f>IF(OR(NOT(ISNUMBER($C658)),$A659=""),"",$C658+N($E657))</f>
      </c>
      <c r="F658" s="13">
        <f>IF(NOT(ISNUMBER($E658)),"",IF($E658-$C658&lt;0.8,"A",IF($E658-$C658&lt;0.95,"B","C")))</f>
      </c>
    </row>
    <row r="659">
      <c r="E659" s="12">
        <f>IF(OR(NOT(ISNUMBER($C659)),$A660=""),"",$C659+N($E658))</f>
      </c>
      <c r="F659" s="13">
        <f>IF(NOT(ISNUMBER($E659)),"",IF($E659-$C659&lt;0.8,"A",IF($E659-$C659&lt;0.95,"B","C")))</f>
      </c>
    </row>
    <row r="660">
      <c r="E660" s="12">
        <f>IF(OR(NOT(ISNUMBER($C660)),$A661=""),"",$C660+N($E659))</f>
      </c>
      <c r="F660" s="13">
        <f>IF(NOT(ISNUMBER($E660)),"",IF($E660-$C660&lt;0.8,"A",IF($E660-$C660&lt;0.95,"B","C")))</f>
      </c>
    </row>
    <row r="661">
      <c r="E661" s="12">
        <f>IF(OR(NOT(ISNUMBER($C661)),$A662=""),"",$C661+N($E660))</f>
      </c>
      <c r="F661" s="13">
        <f>IF(NOT(ISNUMBER($E661)),"",IF($E661-$C661&lt;0.8,"A",IF($E661-$C661&lt;0.95,"B","C")))</f>
      </c>
    </row>
    <row r="662">
      <c r="E662" s="12">
        <f>IF(OR(NOT(ISNUMBER($C662)),$A663=""),"",$C662+N($E661))</f>
      </c>
      <c r="F662" s="13">
        <f>IF(NOT(ISNUMBER($E662)),"",IF($E662-$C662&lt;0.8,"A",IF($E662-$C662&lt;0.95,"B","C")))</f>
      </c>
    </row>
    <row r="663">
      <c r="E663" s="12">
        <f>IF(OR(NOT(ISNUMBER($C663)),$A664=""),"",$C663+N($E662))</f>
      </c>
      <c r="F663" s="13">
        <f>IF(NOT(ISNUMBER($E663)),"",IF($E663-$C663&lt;0.8,"A",IF($E663-$C663&lt;0.95,"B","C")))</f>
      </c>
    </row>
    <row r="664">
      <c r="E664" s="12">
        <f>IF(OR(NOT(ISNUMBER($C664)),$A665=""),"",$C664+N($E663))</f>
      </c>
      <c r="F664" s="13">
        <f>IF(NOT(ISNUMBER($E664)),"",IF($E664-$C664&lt;0.8,"A",IF($E664-$C664&lt;0.95,"B","C")))</f>
      </c>
    </row>
    <row r="665">
      <c r="E665" s="12">
        <f>IF(OR(NOT(ISNUMBER($C665)),$A666=""),"",$C665+N($E664))</f>
      </c>
      <c r="F665" s="13">
        <f>IF(NOT(ISNUMBER($E665)),"",IF($E665-$C665&lt;0.8,"A",IF($E665-$C665&lt;0.95,"B","C")))</f>
      </c>
    </row>
    <row r="666">
      <c r="E666" s="12">
        <f>IF(OR(NOT(ISNUMBER($C666)),$A667=""),"",$C666+N($E665))</f>
      </c>
      <c r="F666" s="13">
        <f>IF(NOT(ISNUMBER($E666)),"",IF($E666-$C666&lt;0.8,"A",IF($E666-$C666&lt;0.95,"B","C")))</f>
      </c>
    </row>
    <row r="667">
      <c r="E667" s="12">
        <f>IF(OR(NOT(ISNUMBER($C667)),$A668=""),"",$C667+N($E666))</f>
      </c>
      <c r="F667" s="13">
        <f>IF(NOT(ISNUMBER($E667)),"",IF($E667-$C667&lt;0.8,"A",IF($E667-$C667&lt;0.95,"B","C")))</f>
      </c>
    </row>
    <row r="668">
      <c r="E668" s="12">
        <f>IF(OR(NOT(ISNUMBER($C668)),$A669=""),"",$C668+N($E667))</f>
      </c>
      <c r="F668" s="13">
        <f>IF(NOT(ISNUMBER($E668)),"",IF($E668-$C668&lt;0.8,"A",IF($E668-$C668&lt;0.95,"B","C")))</f>
      </c>
    </row>
    <row r="669">
      <c r="E669" s="12">
        <f>IF(OR(NOT(ISNUMBER($C669)),$A670=""),"",$C669+N($E668))</f>
      </c>
      <c r="F669" s="13">
        <f>IF(NOT(ISNUMBER($E669)),"",IF($E669-$C669&lt;0.8,"A",IF($E669-$C669&lt;0.95,"B","C")))</f>
      </c>
    </row>
    <row r="670">
      <c r="E670" s="12">
        <f>IF(OR(NOT(ISNUMBER($C670)),$A671=""),"",$C670+N($E669))</f>
      </c>
      <c r="F670" s="13">
        <f>IF(NOT(ISNUMBER($E670)),"",IF($E670-$C670&lt;0.8,"A",IF($E670-$C670&lt;0.95,"B","C")))</f>
      </c>
    </row>
    <row r="671">
      <c r="E671" s="12">
        <f>IF(OR(NOT(ISNUMBER($C671)),$A672=""),"",$C671+N($E670))</f>
      </c>
      <c r="F671" s="13">
        <f>IF(NOT(ISNUMBER($E671)),"",IF($E671-$C671&lt;0.8,"A",IF($E671-$C671&lt;0.95,"B","C")))</f>
      </c>
    </row>
    <row r="672">
      <c r="E672" s="12">
        <f>IF(OR(NOT(ISNUMBER($C672)),$A673=""),"",$C672+N($E671))</f>
      </c>
      <c r="F672" s="13">
        <f>IF(NOT(ISNUMBER($E672)),"",IF($E672-$C672&lt;0.8,"A",IF($E672-$C672&lt;0.95,"B","C")))</f>
      </c>
    </row>
    <row r="673">
      <c r="E673" s="12">
        <f>IF(OR(NOT(ISNUMBER($C673)),$A674=""),"",$C673+N($E672))</f>
      </c>
      <c r="F673" s="13">
        <f>IF(NOT(ISNUMBER($E673)),"",IF($E673-$C673&lt;0.8,"A",IF($E673-$C673&lt;0.95,"B","C")))</f>
      </c>
    </row>
    <row r="674">
      <c r="E674" s="12">
        <f>IF(OR(NOT(ISNUMBER($C674)),$A675=""),"",$C674+N($E673))</f>
      </c>
      <c r="F674" s="13">
        <f>IF(NOT(ISNUMBER($E674)),"",IF($E674-$C674&lt;0.8,"A",IF($E674-$C674&lt;0.95,"B","C")))</f>
      </c>
    </row>
    <row r="675">
      <c r="E675" s="12">
        <f>IF(OR(NOT(ISNUMBER($C675)),$A676=""),"",$C675+N($E674))</f>
      </c>
      <c r="F675" s="13">
        <f>IF(NOT(ISNUMBER($E675)),"",IF($E675-$C675&lt;0.8,"A",IF($E675-$C675&lt;0.95,"B","C")))</f>
      </c>
    </row>
    <row r="676">
      <c r="E676" s="12">
        <f>IF(OR(NOT(ISNUMBER($C676)),$A677=""),"",$C676+N($E675))</f>
      </c>
      <c r="F676" s="13">
        <f>IF(NOT(ISNUMBER($E676)),"",IF($E676-$C676&lt;0.8,"A",IF($E676-$C676&lt;0.95,"B","C")))</f>
      </c>
    </row>
    <row r="677">
      <c r="E677" s="12">
        <f>IF(OR(NOT(ISNUMBER($C677)),$A678=""),"",$C677+N($E676))</f>
      </c>
      <c r="F677" s="13">
        <f>IF(NOT(ISNUMBER($E677)),"",IF($E677-$C677&lt;0.8,"A",IF($E677-$C677&lt;0.95,"B","C")))</f>
      </c>
    </row>
    <row r="678">
      <c r="E678" s="12">
        <f>IF(OR(NOT(ISNUMBER($C678)),$A679=""),"",$C678+N($E677))</f>
      </c>
      <c r="F678" s="13">
        <f>IF(NOT(ISNUMBER($E678)),"",IF($E678-$C678&lt;0.8,"A",IF($E678-$C678&lt;0.95,"B","C")))</f>
      </c>
    </row>
    <row r="679">
      <c r="E679" s="12">
        <f>IF(OR(NOT(ISNUMBER($C679)),$A680=""),"",$C679+N($E678))</f>
      </c>
      <c r="F679" s="13">
        <f>IF(NOT(ISNUMBER($E679)),"",IF($E679-$C679&lt;0.8,"A",IF($E679-$C679&lt;0.95,"B","C")))</f>
      </c>
    </row>
    <row r="680">
      <c r="E680" s="12">
        <f>IF(OR(NOT(ISNUMBER($C680)),$A681=""),"",$C680+N($E679))</f>
      </c>
      <c r="F680" s="13">
        <f>IF(NOT(ISNUMBER($E680)),"",IF($E680-$C680&lt;0.8,"A",IF($E680-$C680&lt;0.95,"B","C")))</f>
      </c>
    </row>
    <row r="681">
      <c r="E681" s="12">
        <f>IF(OR(NOT(ISNUMBER($C681)),$A682=""),"",$C681+N($E680))</f>
      </c>
      <c r="F681" s="13">
        <f>IF(NOT(ISNUMBER($E681)),"",IF($E681-$C681&lt;0.8,"A",IF($E681-$C681&lt;0.95,"B","C")))</f>
      </c>
    </row>
    <row r="682">
      <c r="E682" s="12">
        <f>IF(OR(NOT(ISNUMBER($C682)),$A683=""),"",$C682+N($E681))</f>
      </c>
      <c r="F682" s="13">
        <f>IF(NOT(ISNUMBER($E682)),"",IF($E682-$C682&lt;0.8,"A",IF($E682-$C682&lt;0.95,"B","C")))</f>
      </c>
    </row>
    <row r="683">
      <c r="E683" s="12">
        <f>IF(OR(NOT(ISNUMBER($C683)),$A684=""),"",$C683+N($E682))</f>
      </c>
      <c r="F683" s="13">
        <f>IF(NOT(ISNUMBER($E683)),"",IF($E683-$C683&lt;0.8,"A",IF($E683-$C683&lt;0.95,"B","C")))</f>
      </c>
    </row>
    <row r="684">
      <c r="E684" s="12">
        <f>IF(OR(NOT(ISNUMBER($C684)),$A685=""),"",$C684+N($E683))</f>
      </c>
      <c r="F684" s="13">
        <f>IF(NOT(ISNUMBER($E684)),"",IF($E684-$C684&lt;0.8,"A",IF($E684-$C684&lt;0.95,"B","C")))</f>
      </c>
    </row>
    <row r="685">
      <c r="E685" s="12">
        <f>IF(OR(NOT(ISNUMBER($C685)),$A686=""),"",$C685+N($E684))</f>
      </c>
      <c r="F685" s="13">
        <f>IF(NOT(ISNUMBER($E685)),"",IF($E685-$C685&lt;0.8,"A",IF($E685-$C685&lt;0.95,"B","C")))</f>
      </c>
    </row>
    <row r="686">
      <c r="E686" s="12">
        <f>IF(OR(NOT(ISNUMBER($C686)),$A687=""),"",$C686+N($E685))</f>
      </c>
      <c r="F686" s="13">
        <f>IF(NOT(ISNUMBER($E686)),"",IF($E686-$C686&lt;0.8,"A",IF($E686-$C686&lt;0.95,"B","C")))</f>
      </c>
    </row>
    <row r="687">
      <c r="E687" s="12">
        <f>IF(OR(NOT(ISNUMBER($C687)),$A688=""),"",$C687+N($E686))</f>
      </c>
      <c r="F687" s="13">
        <f>IF(NOT(ISNUMBER($E687)),"",IF($E687-$C687&lt;0.8,"A",IF($E687-$C687&lt;0.95,"B","C")))</f>
      </c>
    </row>
    <row r="688">
      <c r="E688" s="12">
        <f>IF(OR(NOT(ISNUMBER($C688)),$A689=""),"",$C688+N($E687))</f>
      </c>
      <c r="F688" s="13">
        <f>IF(NOT(ISNUMBER($E688)),"",IF($E688-$C688&lt;0.8,"A",IF($E688-$C688&lt;0.95,"B","C")))</f>
      </c>
    </row>
    <row r="689">
      <c r="E689" s="12">
        <f>IF(OR(NOT(ISNUMBER($C689)),$A690=""),"",$C689+N($E688))</f>
      </c>
      <c r="F689" s="13">
        <f>IF(NOT(ISNUMBER($E689)),"",IF($E689-$C689&lt;0.8,"A",IF($E689-$C689&lt;0.95,"B","C")))</f>
      </c>
    </row>
    <row r="690">
      <c r="E690" s="12">
        <f>IF(OR(NOT(ISNUMBER($C690)),$A691=""),"",$C690+N($E689))</f>
      </c>
      <c r="F690" s="13">
        <f>IF(NOT(ISNUMBER($E690)),"",IF($E690-$C690&lt;0.8,"A",IF($E690-$C690&lt;0.95,"B","C")))</f>
      </c>
    </row>
    <row r="691">
      <c r="E691" s="12">
        <f>IF(OR(NOT(ISNUMBER($C691)),$A692=""),"",$C691+N($E690))</f>
      </c>
      <c r="F691" s="13">
        <f>IF(NOT(ISNUMBER($E691)),"",IF($E691-$C691&lt;0.8,"A",IF($E691-$C691&lt;0.95,"B","C")))</f>
      </c>
    </row>
    <row r="692">
      <c r="E692" s="12">
        <f>IF(OR(NOT(ISNUMBER($C692)),$A693=""),"",$C692+N($E691))</f>
      </c>
      <c r="F692" s="13">
        <f>IF(NOT(ISNUMBER($E692)),"",IF($E692-$C692&lt;0.8,"A",IF($E692-$C692&lt;0.95,"B","C")))</f>
      </c>
    </row>
    <row r="693">
      <c r="E693" s="12">
        <f>IF(OR(NOT(ISNUMBER($C693)),$A694=""),"",$C693+N($E692))</f>
      </c>
      <c r="F693" s="13">
        <f>IF(NOT(ISNUMBER($E693)),"",IF($E693-$C693&lt;0.8,"A",IF($E693-$C693&lt;0.95,"B","C")))</f>
      </c>
    </row>
    <row r="694">
      <c r="E694" s="12">
        <f>IF(OR(NOT(ISNUMBER($C694)),$A695=""),"",$C694+N($E693))</f>
      </c>
      <c r="F694" s="13">
        <f>IF(NOT(ISNUMBER($E694)),"",IF($E694-$C694&lt;0.8,"A",IF($E694-$C694&lt;0.95,"B","C")))</f>
      </c>
    </row>
    <row r="695">
      <c r="E695" s="12">
        <f>IF(OR(NOT(ISNUMBER($C695)),$A696=""),"",$C695+N($E694))</f>
      </c>
      <c r="F695" s="13">
        <f>IF(NOT(ISNUMBER($E695)),"",IF($E695-$C695&lt;0.8,"A",IF($E695-$C695&lt;0.95,"B","C")))</f>
      </c>
    </row>
    <row r="696">
      <c r="E696" s="12">
        <f>IF(OR(NOT(ISNUMBER($C696)),$A697=""),"",$C696+N($E695))</f>
      </c>
      <c r="F696" s="13">
        <f>IF(NOT(ISNUMBER($E696)),"",IF($E696-$C696&lt;0.8,"A",IF($E696-$C696&lt;0.95,"B","C")))</f>
      </c>
    </row>
    <row r="697">
      <c r="E697" s="12">
        <f>IF(OR(NOT(ISNUMBER($C697)),$A698=""),"",$C697+N($E696))</f>
      </c>
      <c r="F697" s="13">
        <f>IF(NOT(ISNUMBER($E697)),"",IF($E697-$C697&lt;0.8,"A",IF($E697-$C697&lt;0.95,"B","C")))</f>
      </c>
    </row>
    <row r="698">
      <c r="E698" s="12">
        <f>IF(OR(NOT(ISNUMBER($C698)),$A699=""),"",$C698+N($E697))</f>
      </c>
      <c r="F698" s="13">
        <f>IF(NOT(ISNUMBER($E698)),"",IF($E698-$C698&lt;0.8,"A",IF($E698-$C698&lt;0.95,"B","C")))</f>
      </c>
    </row>
    <row r="699">
      <c r="E699" s="12">
        <f>IF(OR(NOT(ISNUMBER($C699)),$A700=""),"",$C699+N($E698))</f>
      </c>
      <c r="F699" s="13">
        <f>IF(NOT(ISNUMBER($E699)),"",IF($E699-$C699&lt;0.8,"A",IF($E699-$C699&lt;0.95,"B","C")))</f>
      </c>
    </row>
    <row r="700">
      <c r="E700" s="12">
        <f>IF(OR(NOT(ISNUMBER($C700)),$A701=""),"",$C700+N($E699))</f>
      </c>
      <c r="F700" s="13">
        <f>IF(NOT(ISNUMBER($E700)),"",IF($E700-$C700&lt;0.8,"A",IF($E700-$C700&lt;0.95,"B","C")))</f>
      </c>
    </row>
    <row r="701">
      <c r="E701" s="12">
        <f>IF(OR(NOT(ISNUMBER($C701)),$A702=""),"",$C701+N($E700))</f>
      </c>
      <c r="F701" s="13">
        <f>IF(NOT(ISNUMBER($E701)),"",IF($E701-$C701&lt;0.8,"A",IF($E701-$C701&lt;0.95,"B","C")))</f>
      </c>
    </row>
    <row r="702">
      <c r="E702" s="12">
        <f>IF(OR(NOT(ISNUMBER($C702)),$A703=""),"",$C702+N($E701))</f>
      </c>
      <c r="F702" s="13">
        <f>IF(NOT(ISNUMBER($E702)),"",IF($E702-$C702&lt;0.8,"A",IF($E702-$C702&lt;0.95,"B","C")))</f>
      </c>
    </row>
    <row r="703">
      <c r="E703" s="12">
        <f>IF(OR(NOT(ISNUMBER($C703)),$A704=""),"",$C703+N($E702))</f>
      </c>
      <c r="F703" s="13">
        <f>IF(NOT(ISNUMBER($E703)),"",IF($E703-$C703&lt;0.8,"A",IF($E703-$C703&lt;0.95,"B","C")))</f>
      </c>
    </row>
    <row r="704">
      <c r="E704" s="12">
        <f>IF(OR(NOT(ISNUMBER($C704)),$A705=""),"",$C704+N($E703))</f>
      </c>
      <c r="F704" s="13">
        <f>IF(NOT(ISNUMBER($E704)),"",IF($E704-$C704&lt;0.8,"A",IF($E704-$C704&lt;0.95,"B","C")))</f>
      </c>
    </row>
    <row r="705">
      <c r="E705" s="12">
        <f>IF(OR(NOT(ISNUMBER($C705)),$A706=""),"",$C705+N($E704))</f>
      </c>
      <c r="F705" s="13">
        <f>IF(NOT(ISNUMBER($E705)),"",IF($E705-$C705&lt;0.8,"A",IF($E705-$C705&lt;0.95,"B","C")))</f>
      </c>
    </row>
    <row r="706">
      <c r="E706" s="12">
        <f>IF(OR(NOT(ISNUMBER($C706)),$A707=""),"",$C706+N($E705))</f>
      </c>
      <c r="F706" s="13">
        <f>IF(NOT(ISNUMBER($E706)),"",IF($E706-$C706&lt;0.8,"A",IF($E706-$C706&lt;0.95,"B","C")))</f>
      </c>
    </row>
    <row r="707">
      <c r="E707" s="12">
        <f>IF(OR(NOT(ISNUMBER($C707)),$A708=""),"",$C707+N($E706))</f>
      </c>
      <c r="F707" s="13">
        <f>IF(NOT(ISNUMBER($E707)),"",IF($E707-$C707&lt;0.8,"A",IF($E707-$C707&lt;0.95,"B","C")))</f>
      </c>
    </row>
    <row r="708">
      <c r="E708" s="12">
        <f>IF(OR(NOT(ISNUMBER($C708)),$A709=""),"",$C708+N($E707))</f>
      </c>
      <c r="F708" s="13">
        <f>IF(NOT(ISNUMBER($E708)),"",IF($E708-$C708&lt;0.8,"A",IF($E708-$C708&lt;0.95,"B","C")))</f>
      </c>
    </row>
    <row r="709">
      <c r="E709" s="12">
        <f>IF(OR(NOT(ISNUMBER($C709)),$A710=""),"",$C709+N($E708))</f>
      </c>
      <c r="F709" s="13">
        <f>IF(NOT(ISNUMBER($E709)),"",IF($E709-$C709&lt;0.8,"A",IF($E709-$C709&lt;0.95,"B","C")))</f>
      </c>
    </row>
    <row r="710">
      <c r="E710" s="12">
        <f>IF(OR(NOT(ISNUMBER($C710)),$A711=""),"",$C710+N($E709))</f>
      </c>
      <c r="F710" s="13">
        <f>IF(NOT(ISNUMBER($E710)),"",IF($E710-$C710&lt;0.8,"A",IF($E710-$C710&lt;0.95,"B","C")))</f>
      </c>
    </row>
    <row r="711">
      <c r="E711" s="12">
        <f>IF(OR(NOT(ISNUMBER($C711)),$A712=""),"",$C711+N($E710))</f>
      </c>
      <c r="F711" s="13">
        <f>IF(NOT(ISNUMBER($E711)),"",IF($E711-$C711&lt;0.8,"A",IF($E711-$C711&lt;0.95,"B","C")))</f>
      </c>
    </row>
    <row r="712">
      <c r="E712" s="12">
        <f>IF(OR(NOT(ISNUMBER($C712)),$A713=""),"",$C712+N($E711))</f>
      </c>
      <c r="F712" s="13">
        <f>IF(NOT(ISNUMBER($E712)),"",IF($E712-$C712&lt;0.8,"A",IF($E712-$C712&lt;0.95,"B","C")))</f>
      </c>
    </row>
    <row r="713">
      <c r="E713" s="12">
        <f>IF(OR(NOT(ISNUMBER($C713)),$A714=""),"",$C713+N($E712))</f>
      </c>
      <c r="F713" s="13">
        <f>IF(NOT(ISNUMBER($E713)),"",IF($E713-$C713&lt;0.8,"A",IF($E713-$C713&lt;0.95,"B","C")))</f>
      </c>
    </row>
    <row r="714">
      <c r="E714" s="12">
        <f>IF(OR(NOT(ISNUMBER($C714)),$A715=""),"",$C714+N($E713))</f>
      </c>
      <c r="F714" s="13">
        <f>IF(NOT(ISNUMBER($E714)),"",IF($E714-$C714&lt;0.8,"A",IF($E714-$C714&lt;0.95,"B","C")))</f>
      </c>
    </row>
    <row r="715">
      <c r="E715" s="12">
        <f>IF(OR(NOT(ISNUMBER($C715)),$A716=""),"",$C715+N($E714))</f>
      </c>
      <c r="F715" s="13">
        <f>IF(NOT(ISNUMBER($E715)),"",IF($E715-$C715&lt;0.8,"A",IF($E715-$C715&lt;0.95,"B","C")))</f>
      </c>
    </row>
    <row r="716">
      <c r="E716" s="12">
        <f>IF(OR(NOT(ISNUMBER($C716)),$A717=""),"",$C716+N($E715))</f>
      </c>
      <c r="F716" s="13">
        <f>IF(NOT(ISNUMBER($E716)),"",IF($E716-$C716&lt;0.8,"A",IF($E716-$C716&lt;0.95,"B","C")))</f>
      </c>
    </row>
    <row r="717">
      <c r="E717" s="12">
        <f>IF(OR(NOT(ISNUMBER($C717)),$A718=""),"",$C717+N($E716))</f>
      </c>
      <c r="F717" s="13">
        <f>IF(NOT(ISNUMBER($E717)),"",IF($E717-$C717&lt;0.8,"A",IF($E717-$C717&lt;0.95,"B","C")))</f>
      </c>
    </row>
    <row r="718">
      <c r="E718" s="12">
        <f>IF(OR(NOT(ISNUMBER($C718)),$A719=""),"",$C718+N($E717))</f>
      </c>
      <c r="F718" s="13">
        <f>IF(NOT(ISNUMBER($E718)),"",IF($E718-$C718&lt;0.8,"A",IF($E718-$C718&lt;0.95,"B","C")))</f>
      </c>
    </row>
    <row r="719">
      <c r="E719" s="12">
        <f>IF(OR(NOT(ISNUMBER($C719)),$A720=""),"",$C719+N($E718))</f>
      </c>
      <c r="F719" s="13">
        <f>IF(NOT(ISNUMBER($E719)),"",IF($E719-$C719&lt;0.8,"A",IF($E719-$C719&lt;0.95,"B","C")))</f>
      </c>
    </row>
    <row r="720">
      <c r="E720" s="12">
        <f>IF(OR(NOT(ISNUMBER($C720)),$A721=""),"",$C720+N($E719))</f>
      </c>
      <c r="F720" s="13">
        <f>IF(NOT(ISNUMBER($E720)),"",IF($E720-$C720&lt;0.8,"A",IF($E720-$C720&lt;0.95,"B","C")))</f>
      </c>
    </row>
    <row r="721">
      <c r="E721" s="12">
        <f>IF(OR(NOT(ISNUMBER($C721)),$A722=""),"",$C721+N($E720))</f>
      </c>
      <c r="F721" s="13">
        <f>IF(NOT(ISNUMBER($E721)),"",IF($E721-$C721&lt;0.8,"A",IF($E721-$C721&lt;0.95,"B","C")))</f>
      </c>
    </row>
    <row r="722">
      <c r="E722" s="12">
        <f>IF(OR(NOT(ISNUMBER($C722)),$A723=""),"",$C722+N($E721))</f>
      </c>
      <c r="F722" s="13">
        <f>IF(NOT(ISNUMBER($E722)),"",IF($E722-$C722&lt;0.8,"A",IF($E722-$C722&lt;0.95,"B","C")))</f>
      </c>
    </row>
    <row r="723">
      <c r="E723" s="12">
        <f>IF(OR(NOT(ISNUMBER($C723)),$A724=""),"",$C723+N($E722))</f>
      </c>
      <c r="F723" s="13">
        <f>IF(NOT(ISNUMBER($E723)),"",IF($E723-$C723&lt;0.8,"A",IF($E723-$C723&lt;0.95,"B","C")))</f>
      </c>
    </row>
    <row r="724">
      <c r="E724" s="12">
        <f>IF(OR(NOT(ISNUMBER($C724)),$A725=""),"",$C724+N($E723))</f>
      </c>
      <c r="F724" s="13">
        <f>IF(NOT(ISNUMBER($E724)),"",IF($E724-$C724&lt;0.8,"A",IF($E724-$C724&lt;0.95,"B","C")))</f>
      </c>
    </row>
    <row r="725">
      <c r="E725" s="12">
        <f>IF(OR(NOT(ISNUMBER($C725)),$A726=""),"",$C725+N($E724))</f>
      </c>
      <c r="F725" s="13">
        <f>IF(NOT(ISNUMBER($E725)),"",IF($E725-$C725&lt;0.8,"A",IF($E725-$C725&lt;0.95,"B","C")))</f>
      </c>
    </row>
    <row r="726">
      <c r="E726" s="12">
        <f>IF(OR(NOT(ISNUMBER($C726)),$A727=""),"",$C726+N($E725))</f>
      </c>
      <c r="F726" s="13">
        <f>IF(NOT(ISNUMBER($E726)),"",IF($E726-$C726&lt;0.8,"A",IF($E726-$C726&lt;0.95,"B","C")))</f>
      </c>
    </row>
    <row r="727">
      <c r="E727" s="12">
        <f>IF(OR(NOT(ISNUMBER($C727)),$A728=""),"",$C727+N($E726))</f>
      </c>
      <c r="F727" s="13">
        <f>IF(NOT(ISNUMBER($E727)),"",IF($E727-$C727&lt;0.8,"A",IF($E727-$C727&lt;0.95,"B","C")))</f>
      </c>
    </row>
    <row r="728">
      <c r="E728" s="12">
        <f>IF(OR(NOT(ISNUMBER($C728)),$A729=""),"",$C728+N($E727))</f>
      </c>
      <c r="F728" s="13">
        <f>IF(NOT(ISNUMBER($E728)),"",IF($E728-$C728&lt;0.8,"A",IF($E728-$C728&lt;0.95,"B","C")))</f>
      </c>
    </row>
    <row r="729">
      <c r="E729" s="12">
        <f>IF(OR(NOT(ISNUMBER($C729)),$A730=""),"",$C729+N($E728))</f>
      </c>
      <c r="F729" s="13">
        <f>IF(NOT(ISNUMBER($E729)),"",IF($E729-$C729&lt;0.8,"A",IF($E729-$C729&lt;0.95,"B","C")))</f>
      </c>
    </row>
    <row r="730">
      <c r="E730" s="12">
        <f>IF(OR(NOT(ISNUMBER($C730)),$A731=""),"",$C730+N($E729))</f>
      </c>
      <c r="F730" s="13">
        <f>IF(NOT(ISNUMBER($E730)),"",IF($E730-$C730&lt;0.8,"A",IF($E730-$C730&lt;0.95,"B","C")))</f>
      </c>
    </row>
    <row r="731">
      <c r="E731" s="12">
        <f>IF(OR(NOT(ISNUMBER($C731)),$A732=""),"",$C731+N($E730))</f>
      </c>
      <c r="F731" s="13">
        <f>IF(NOT(ISNUMBER($E731)),"",IF($E731-$C731&lt;0.8,"A",IF($E731-$C731&lt;0.95,"B","C")))</f>
      </c>
    </row>
    <row r="732">
      <c r="E732" s="12">
        <f>IF(OR(NOT(ISNUMBER($C732)),$A733=""),"",$C732+N($E731))</f>
      </c>
      <c r="F732" s="13">
        <f>IF(NOT(ISNUMBER($E732)),"",IF($E732-$C732&lt;0.8,"A",IF($E732-$C732&lt;0.95,"B","C")))</f>
      </c>
    </row>
    <row r="733">
      <c r="E733" s="12">
        <f>IF(OR(NOT(ISNUMBER($C733)),$A734=""),"",$C733+N($E732))</f>
      </c>
      <c r="F733" s="13">
        <f>IF(NOT(ISNUMBER($E733)),"",IF($E733-$C733&lt;0.8,"A",IF($E733-$C733&lt;0.95,"B","C")))</f>
      </c>
    </row>
    <row r="734">
      <c r="E734" s="12">
        <f>IF(OR(NOT(ISNUMBER($C734)),$A735=""),"",$C734+N($E733))</f>
      </c>
      <c r="F734" s="13">
        <f>IF(NOT(ISNUMBER($E734)),"",IF($E734-$C734&lt;0.8,"A",IF($E734-$C734&lt;0.95,"B","C")))</f>
      </c>
    </row>
    <row r="735">
      <c r="E735" s="12">
        <f>IF(OR(NOT(ISNUMBER($C735)),$A736=""),"",$C735+N($E734))</f>
      </c>
      <c r="F735" s="13">
        <f>IF(NOT(ISNUMBER($E735)),"",IF($E735-$C735&lt;0.8,"A",IF($E735-$C735&lt;0.95,"B","C")))</f>
      </c>
    </row>
    <row r="736">
      <c r="E736" s="12">
        <f>IF(OR(NOT(ISNUMBER($C736)),$A737=""),"",$C736+N($E735))</f>
      </c>
      <c r="F736" s="13">
        <f>IF(NOT(ISNUMBER($E736)),"",IF($E736-$C736&lt;0.8,"A",IF($E736-$C736&lt;0.95,"B","C")))</f>
      </c>
    </row>
    <row r="737">
      <c r="E737" s="12">
        <f>IF(OR(NOT(ISNUMBER($C737)),$A738=""),"",$C737+N($E736))</f>
      </c>
      <c r="F737" s="13">
        <f>IF(NOT(ISNUMBER($E737)),"",IF($E737-$C737&lt;0.8,"A",IF($E737-$C737&lt;0.95,"B","C")))</f>
      </c>
    </row>
    <row r="738">
      <c r="E738" s="12">
        <f>IF(OR(NOT(ISNUMBER($C738)),$A739=""),"",$C738+N($E737))</f>
      </c>
      <c r="F738" s="13">
        <f>IF(NOT(ISNUMBER($E738)),"",IF($E738-$C738&lt;0.8,"A",IF($E738-$C738&lt;0.95,"B","C")))</f>
      </c>
    </row>
    <row r="739">
      <c r="E739" s="12">
        <f>IF(OR(NOT(ISNUMBER($C739)),$A740=""),"",$C739+N($E738))</f>
      </c>
      <c r="F739" s="13">
        <f>IF(NOT(ISNUMBER($E739)),"",IF($E739-$C739&lt;0.8,"A",IF($E739-$C739&lt;0.95,"B","C")))</f>
      </c>
    </row>
    <row r="740">
      <c r="E740" s="12">
        <f>IF(OR(NOT(ISNUMBER($C740)),$A741=""),"",$C740+N($E739))</f>
      </c>
      <c r="F740" s="13">
        <f>IF(NOT(ISNUMBER($E740)),"",IF($E740-$C740&lt;0.8,"A",IF($E740-$C740&lt;0.95,"B","C")))</f>
      </c>
    </row>
    <row r="741">
      <c r="E741" s="12">
        <f>IF(OR(NOT(ISNUMBER($C741)),$A742=""),"",$C741+N($E740))</f>
      </c>
      <c r="F741" s="13">
        <f>IF(NOT(ISNUMBER($E741)),"",IF($E741-$C741&lt;0.8,"A",IF($E741-$C741&lt;0.95,"B","C")))</f>
      </c>
    </row>
    <row r="742">
      <c r="E742" s="12">
        <f>IF(OR(NOT(ISNUMBER($C742)),$A743=""),"",$C742+N($E741))</f>
      </c>
      <c r="F742" s="13">
        <f>IF(NOT(ISNUMBER($E742)),"",IF($E742-$C742&lt;0.8,"A",IF($E742-$C742&lt;0.95,"B","C")))</f>
      </c>
    </row>
    <row r="743">
      <c r="E743" s="12">
        <f>IF(OR(NOT(ISNUMBER($C743)),$A744=""),"",$C743+N($E742))</f>
      </c>
      <c r="F743" s="13">
        <f>IF(NOT(ISNUMBER($E743)),"",IF($E743-$C743&lt;0.8,"A",IF($E743-$C743&lt;0.95,"B","C")))</f>
      </c>
    </row>
    <row r="744">
      <c r="E744" s="12">
        <f>IF(OR(NOT(ISNUMBER($C744)),$A745=""),"",$C744+N($E743))</f>
      </c>
      <c r="F744" s="13">
        <f>IF(NOT(ISNUMBER($E744)),"",IF($E744-$C744&lt;0.8,"A",IF($E744-$C744&lt;0.95,"B","C")))</f>
      </c>
    </row>
    <row r="745">
      <c r="E745" s="12">
        <f>IF(OR(NOT(ISNUMBER($C745)),$A746=""),"",$C745+N($E744))</f>
      </c>
      <c r="F745" s="13">
        <f>IF(NOT(ISNUMBER($E745)),"",IF($E745-$C745&lt;0.8,"A",IF($E745-$C745&lt;0.95,"B","C")))</f>
      </c>
    </row>
    <row r="746">
      <c r="E746" s="12">
        <f>IF(OR(NOT(ISNUMBER($C746)),$A747=""),"",$C746+N($E745))</f>
      </c>
      <c r="F746" s="13">
        <f>IF(NOT(ISNUMBER($E746)),"",IF($E746-$C746&lt;0.8,"A",IF($E746-$C746&lt;0.95,"B","C")))</f>
      </c>
    </row>
    <row r="747">
      <c r="E747" s="12">
        <f>IF(OR(NOT(ISNUMBER($C747)),$A748=""),"",$C747+N($E746))</f>
      </c>
      <c r="F747" s="13">
        <f>IF(NOT(ISNUMBER($E747)),"",IF($E747-$C747&lt;0.8,"A",IF($E747-$C747&lt;0.95,"B","C")))</f>
      </c>
    </row>
    <row r="748">
      <c r="E748" s="12">
        <f>IF(OR(NOT(ISNUMBER($C748)),$A749=""),"",$C748+N($E747))</f>
      </c>
      <c r="F748" s="13">
        <f>IF(NOT(ISNUMBER($E748)),"",IF($E748-$C748&lt;0.8,"A",IF($E748-$C748&lt;0.95,"B","C")))</f>
      </c>
    </row>
    <row r="749">
      <c r="E749" s="12">
        <f>IF(OR(NOT(ISNUMBER($C749)),$A750=""),"",$C749+N($E748))</f>
      </c>
      <c r="F749" s="13">
        <f>IF(NOT(ISNUMBER($E749)),"",IF($E749-$C749&lt;0.8,"A",IF($E749-$C749&lt;0.95,"B","C")))</f>
      </c>
    </row>
    <row r="750">
      <c r="E750" s="12">
        <f>IF(OR(NOT(ISNUMBER($C750)),$A751=""),"",$C750+N($E749))</f>
      </c>
      <c r="F750" s="13">
        <f>IF(NOT(ISNUMBER($E750)),"",IF($E750-$C750&lt;0.8,"A",IF($E750-$C750&lt;0.95,"B","C")))</f>
      </c>
    </row>
    <row r="751">
      <c r="E751" s="12">
        <f>IF(OR(NOT(ISNUMBER($C751)),$A752=""),"",$C751+N($E750))</f>
      </c>
      <c r="F751" s="13">
        <f>IF(NOT(ISNUMBER($E751)),"",IF($E751-$C751&lt;0.8,"A",IF($E751-$C751&lt;0.95,"B","C")))</f>
      </c>
    </row>
    <row r="752">
      <c r="E752" s="12">
        <f>IF(OR(NOT(ISNUMBER($C752)),$A753=""),"",$C752+N($E751))</f>
      </c>
      <c r="F752" s="13">
        <f>IF(NOT(ISNUMBER($E752)),"",IF($E752-$C752&lt;0.8,"A",IF($E752-$C752&lt;0.95,"B","C")))</f>
      </c>
    </row>
    <row r="753">
      <c r="E753" s="12">
        <f>IF(OR(NOT(ISNUMBER($C753)),$A754=""),"",$C753+N($E752))</f>
      </c>
      <c r="F753" s="13">
        <f>IF(NOT(ISNUMBER($E753)),"",IF($E753-$C753&lt;0.8,"A",IF($E753-$C753&lt;0.95,"B","C")))</f>
      </c>
    </row>
    <row r="754">
      <c r="E754" s="12">
        <f>IF(OR(NOT(ISNUMBER($C754)),$A755=""),"",$C754+N($E753))</f>
      </c>
      <c r="F754" s="13">
        <f>IF(NOT(ISNUMBER($E754)),"",IF($E754-$C754&lt;0.8,"A",IF($E754-$C754&lt;0.95,"B","C")))</f>
      </c>
    </row>
    <row r="755">
      <c r="E755" s="12">
        <f>IF(OR(NOT(ISNUMBER($C755)),$A756=""),"",$C755+N($E754))</f>
      </c>
      <c r="F755" s="13">
        <f>IF(NOT(ISNUMBER($E755)),"",IF($E755-$C755&lt;0.8,"A",IF($E755-$C755&lt;0.95,"B","C")))</f>
      </c>
    </row>
    <row r="756">
      <c r="E756" s="12">
        <f>IF(OR(NOT(ISNUMBER($C756)),$A757=""),"",$C756+N($E755))</f>
      </c>
      <c r="F756" s="13">
        <f>IF(NOT(ISNUMBER($E756)),"",IF($E756-$C756&lt;0.8,"A",IF($E756-$C756&lt;0.95,"B","C")))</f>
      </c>
    </row>
    <row r="757">
      <c r="E757" s="12">
        <f>IF(OR(NOT(ISNUMBER($C757)),$A758=""),"",$C757+N($E756))</f>
      </c>
      <c r="F757" s="13">
        <f>IF(NOT(ISNUMBER($E757)),"",IF($E757-$C757&lt;0.8,"A",IF($E757-$C757&lt;0.95,"B","C")))</f>
      </c>
    </row>
    <row r="758">
      <c r="E758" s="12">
        <f>IF(OR(NOT(ISNUMBER($C758)),$A759=""),"",$C758+N($E757))</f>
      </c>
      <c r="F758" s="13">
        <f>IF(NOT(ISNUMBER($E758)),"",IF($E758-$C758&lt;0.8,"A",IF($E758-$C758&lt;0.95,"B","C")))</f>
      </c>
    </row>
    <row r="759">
      <c r="E759" s="12">
        <f>IF(OR(NOT(ISNUMBER($C759)),$A760=""),"",$C759+N($E758))</f>
      </c>
      <c r="F759" s="13">
        <f>IF(NOT(ISNUMBER($E759)),"",IF($E759-$C759&lt;0.8,"A",IF($E759-$C759&lt;0.95,"B","C")))</f>
      </c>
    </row>
    <row r="760">
      <c r="E760" s="12">
        <f>IF(OR(NOT(ISNUMBER($C760)),$A761=""),"",$C760+N($E759))</f>
      </c>
      <c r="F760" s="13">
        <f>IF(NOT(ISNUMBER($E760)),"",IF($E760-$C760&lt;0.8,"A",IF($E760-$C760&lt;0.95,"B","C")))</f>
      </c>
    </row>
    <row r="761">
      <c r="E761" s="12">
        <f>IF(OR(NOT(ISNUMBER($C761)),$A762=""),"",$C761+N($E760))</f>
      </c>
      <c r="F761" s="13">
        <f>IF(NOT(ISNUMBER($E761)),"",IF($E761-$C761&lt;0.8,"A",IF($E761-$C761&lt;0.95,"B","C")))</f>
      </c>
    </row>
    <row r="762">
      <c r="E762" s="12">
        <f>IF(OR(NOT(ISNUMBER($C762)),$A763=""),"",$C762+N($E761))</f>
      </c>
      <c r="F762" s="13">
        <f>IF(NOT(ISNUMBER($E762)),"",IF($E762-$C762&lt;0.8,"A",IF($E762-$C762&lt;0.95,"B","C")))</f>
      </c>
    </row>
    <row r="763">
      <c r="E763" s="12">
        <f>IF(OR(NOT(ISNUMBER($C763)),$A764=""),"",$C763+N($E762))</f>
      </c>
      <c r="F763" s="13">
        <f>IF(NOT(ISNUMBER($E763)),"",IF($E763-$C763&lt;0.8,"A",IF($E763-$C763&lt;0.95,"B","C")))</f>
      </c>
    </row>
    <row r="764">
      <c r="E764" s="12">
        <f>IF(OR(NOT(ISNUMBER($C764)),$A765=""),"",$C764+N($E763))</f>
      </c>
      <c r="F764" s="13">
        <f>IF(NOT(ISNUMBER($E764)),"",IF($E764-$C764&lt;0.8,"A",IF($E764-$C764&lt;0.95,"B","C")))</f>
      </c>
    </row>
    <row r="765">
      <c r="E765" s="12">
        <f>IF(OR(NOT(ISNUMBER($C765)),$A766=""),"",$C765+N($E764))</f>
      </c>
      <c r="F765" s="13">
        <f>IF(NOT(ISNUMBER($E765)),"",IF($E765-$C765&lt;0.8,"A",IF($E765-$C765&lt;0.95,"B","C")))</f>
      </c>
    </row>
    <row r="766">
      <c r="E766" s="12">
        <f>IF(OR(NOT(ISNUMBER($C766)),$A767=""),"",$C766+N($E765))</f>
      </c>
      <c r="F766" s="13">
        <f>IF(NOT(ISNUMBER($E766)),"",IF($E766-$C766&lt;0.8,"A",IF($E766-$C766&lt;0.95,"B","C")))</f>
      </c>
    </row>
    <row r="767">
      <c r="E767" s="12">
        <f>IF(OR(NOT(ISNUMBER($C767)),$A768=""),"",$C767+N($E766))</f>
      </c>
      <c r="F767" s="13">
        <f>IF(NOT(ISNUMBER($E767)),"",IF($E767-$C767&lt;0.8,"A",IF($E767-$C767&lt;0.95,"B","C")))</f>
      </c>
    </row>
    <row r="768">
      <c r="E768" s="12">
        <f>IF(OR(NOT(ISNUMBER($C768)),$A769=""),"",$C768+N($E767))</f>
      </c>
      <c r="F768" s="13">
        <f>IF(NOT(ISNUMBER($E768)),"",IF($E768-$C768&lt;0.8,"A",IF($E768-$C768&lt;0.95,"B","C")))</f>
      </c>
    </row>
    <row r="769">
      <c r="E769" s="12">
        <f>IF(OR(NOT(ISNUMBER($C769)),$A770=""),"",$C769+N($E768))</f>
      </c>
      <c r="F769" s="13">
        <f>IF(NOT(ISNUMBER($E769)),"",IF($E769-$C769&lt;0.8,"A",IF($E769-$C769&lt;0.95,"B","C")))</f>
      </c>
    </row>
    <row r="770">
      <c r="E770" s="12">
        <f>IF(OR(NOT(ISNUMBER($C770)),$A771=""),"",$C770+N($E769))</f>
      </c>
      <c r="F770" s="13">
        <f>IF(NOT(ISNUMBER($E770)),"",IF($E770-$C770&lt;0.8,"A",IF($E770-$C770&lt;0.95,"B","C")))</f>
      </c>
    </row>
    <row r="771">
      <c r="E771" s="12">
        <f>IF(OR(NOT(ISNUMBER($C771)),$A772=""),"",$C771+N($E770))</f>
      </c>
      <c r="F771" s="13">
        <f>IF(NOT(ISNUMBER($E771)),"",IF($E771-$C771&lt;0.8,"A",IF($E771-$C771&lt;0.95,"B","C")))</f>
      </c>
    </row>
    <row r="772">
      <c r="E772" s="12">
        <f>IF(OR(NOT(ISNUMBER($C772)),$A773=""),"",$C772+N($E771))</f>
      </c>
      <c r="F772" s="13">
        <f>IF(NOT(ISNUMBER($E772)),"",IF($E772-$C772&lt;0.8,"A",IF($E772-$C772&lt;0.95,"B","C")))</f>
      </c>
    </row>
    <row r="773">
      <c r="E773" s="12">
        <f>IF(OR(NOT(ISNUMBER($C773)),$A774=""),"",$C773+N($E772))</f>
      </c>
      <c r="F773" s="13">
        <f>IF(NOT(ISNUMBER($E773)),"",IF($E773-$C773&lt;0.8,"A",IF($E773-$C773&lt;0.95,"B","C")))</f>
      </c>
    </row>
    <row r="774">
      <c r="E774" s="12">
        <f>IF(OR(NOT(ISNUMBER($C774)),$A775=""),"",$C774+N($E773))</f>
      </c>
      <c r="F774" s="13">
        <f>IF(NOT(ISNUMBER($E774)),"",IF($E774-$C774&lt;0.8,"A",IF($E774-$C774&lt;0.95,"B","C")))</f>
      </c>
    </row>
    <row r="775">
      <c r="E775" s="12">
        <f>IF(OR(NOT(ISNUMBER($C775)),$A776=""),"",$C775+N($E774))</f>
      </c>
      <c r="F775" s="13">
        <f>IF(NOT(ISNUMBER($E775)),"",IF($E775-$C775&lt;0.8,"A",IF($E775-$C775&lt;0.95,"B","C")))</f>
      </c>
    </row>
    <row r="776">
      <c r="E776" s="12">
        <f>IF(OR(NOT(ISNUMBER($C776)),$A777=""),"",$C776+N($E775))</f>
      </c>
      <c r="F776" s="13">
        <f>IF(NOT(ISNUMBER($E776)),"",IF($E776-$C776&lt;0.8,"A",IF($E776-$C776&lt;0.95,"B","C")))</f>
      </c>
    </row>
    <row r="777">
      <c r="E777" s="12">
        <f>IF(OR(NOT(ISNUMBER($C777)),$A778=""),"",$C777+N($E776))</f>
      </c>
      <c r="F777" s="13">
        <f>IF(NOT(ISNUMBER($E777)),"",IF($E777-$C777&lt;0.8,"A",IF($E777-$C777&lt;0.95,"B","C")))</f>
      </c>
    </row>
    <row r="778">
      <c r="E778" s="12">
        <f>IF(OR(NOT(ISNUMBER($C778)),$A779=""),"",$C778+N($E777))</f>
      </c>
      <c r="F778" s="13">
        <f>IF(NOT(ISNUMBER($E778)),"",IF($E778-$C778&lt;0.8,"A",IF($E778-$C778&lt;0.95,"B","C")))</f>
      </c>
    </row>
    <row r="779">
      <c r="E779" s="12">
        <f>IF(OR(NOT(ISNUMBER($C779)),$A780=""),"",$C779+N($E778))</f>
      </c>
      <c r="F779" s="13">
        <f>IF(NOT(ISNUMBER($E779)),"",IF($E779-$C779&lt;0.8,"A",IF($E779-$C779&lt;0.95,"B","C")))</f>
      </c>
    </row>
    <row r="780">
      <c r="E780" s="12">
        <f>IF(OR(NOT(ISNUMBER($C780)),$A781=""),"",$C780+N($E779))</f>
      </c>
      <c r="F780" s="13">
        <f>IF(NOT(ISNUMBER($E780)),"",IF($E780-$C780&lt;0.8,"A",IF($E780-$C780&lt;0.95,"B","C")))</f>
      </c>
    </row>
    <row r="781">
      <c r="E781" s="12">
        <f>IF(OR(NOT(ISNUMBER($C781)),$A782=""),"",$C781+N($E780))</f>
      </c>
      <c r="F781" s="13">
        <f>IF(NOT(ISNUMBER($E781)),"",IF($E781-$C781&lt;0.8,"A",IF($E781-$C781&lt;0.95,"B","C")))</f>
      </c>
    </row>
    <row r="782">
      <c r="E782" s="12">
        <f>IF(OR(NOT(ISNUMBER($C782)),$A783=""),"",$C782+N($E781))</f>
      </c>
      <c r="F782" s="13">
        <f>IF(NOT(ISNUMBER($E782)),"",IF($E782-$C782&lt;0.8,"A",IF($E782-$C782&lt;0.95,"B","C")))</f>
      </c>
    </row>
    <row r="783">
      <c r="E783" s="12">
        <f>IF(OR(NOT(ISNUMBER($C783)),$A784=""),"",$C783+N($E782))</f>
      </c>
      <c r="F783" s="13">
        <f>IF(NOT(ISNUMBER($E783)),"",IF($E783-$C783&lt;0.8,"A",IF($E783-$C783&lt;0.95,"B","C")))</f>
      </c>
    </row>
    <row r="784">
      <c r="E784" s="12">
        <f>IF(OR(NOT(ISNUMBER($C784)),$A785=""),"",$C784+N($E783))</f>
      </c>
      <c r="F784" s="13">
        <f>IF(NOT(ISNUMBER($E784)),"",IF($E784-$C784&lt;0.8,"A",IF($E784-$C784&lt;0.95,"B","C")))</f>
      </c>
    </row>
    <row r="785">
      <c r="E785" s="12">
        <f>IF(OR(NOT(ISNUMBER($C785)),$A786=""),"",$C785+N($E784))</f>
      </c>
      <c r="F785" s="13">
        <f>IF(NOT(ISNUMBER($E785)),"",IF($E785-$C785&lt;0.8,"A",IF($E785-$C785&lt;0.95,"B","C")))</f>
      </c>
    </row>
    <row r="786">
      <c r="E786" s="12">
        <f>IF(OR(NOT(ISNUMBER($C786)),$A787=""),"",$C786+N($E785))</f>
      </c>
      <c r="F786" s="13">
        <f>IF(NOT(ISNUMBER($E786)),"",IF($E786-$C786&lt;0.8,"A",IF($E786-$C786&lt;0.95,"B","C")))</f>
      </c>
    </row>
    <row r="787">
      <c r="E787" s="12">
        <f>IF(OR(NOT(ISNUMBER($C787)),$A788=""),"",$C787+N($E786))</f>
      </c>
      <c r="F787" s="13">
        <f>IF(NOT(ISNUMBER($E787)),"",IF($E787-$C787&lt;0.8,"A",IF($E787-$C787&lt;0.95,"B","C")))</f>
      </c>
    </row>
    <row r="788">
      <c r="E788" s="12">
        <f>IF(OR(NOT(ISNUMBER($C788)),$A789=""),"",$C788+N($E787))</f>
      </c>
      <c r="F788" s="13">
        <f>IF(NOT(ISNUMBER($E788)),"",IF($E788-$C788&lt;0.8,"A",IF($E788-$C788&lt;0.95,"B","C")))</f>
      </c>
    </row>
    <row r="789">
      <c r="E789" s="12">
        <f>IF(OR(NOT(ISNUMBER($C789)),$A790=""),"",$C789+N($E788))</f>
      </c>
      <c r="F789" s="13">
        <f>IF(NOT(ISNUMBER($E789)),"",IF($E789-$C789&lt;0.8,"A",IF($E789-$C789&lt;0.95,"B","C")))</f>
      </c>
    </row>
    <row r="790">
      <c r="E790" s="12">
        <f>IF(OR(NOT(ISNUMBER($C790)),$A791=""),"",$C790+N($E789))</f>
      </c>
      <c r="F790" s="13">
        <f>IF(NOT(ISNUMBER($E790)),"",IF($E790-$C790&lt;0.8,"A",IF($E790-$C790&lt;0.95,"B","C")))</f>
      </c>
    </row>
    <row r="791">
      <c r="E791" s="12">
        <f>IF(OR(NOT(ISNUMBER($C791)),$A792=""),"",$C791+N($E790))</f>
      </c>
      <c r="F791" s="13">
        <f>IF(NOT(ISNUMBER($E791)),"",IF($E791-$C791&lt;0.8,"A",IF($E791-$C791&lt;0.95,"B","C")))</f>
      </c>
    </row>
    <row r="792">
      <c r="E792" s="12">
        <f>IF(OR(NOT(ISNUMBER($C792)),$A793=""),"",$C792+N($E791))</f>
      </c>
      <c r="F792" s="13">
        <f>IF(NOT(ISNUMBER($E792)),"",IF($E792-$C792&lt;0.8,"A",IF($E792-$C792&lt;0.95,"B","C")))</f>
      </c>
    </row>
    <row r="793">
      <c r="E793" s="12">
        <f>IF(OR(NOT(ISNUMBER($C793)),$A794=""),"",$C793+N($E792))</f>
      </c>
      <c r="F793" s="13">
        <f>IF(NOT(ISNUMBER($E793)),"",IF($E793-$C793&lt;0.8,"A",IF($E793-$C793&lt;0.95,"B","C")))</f>
      </c>
    </row>
    <row r="794">
      <c r="E794" s="12">
        <f>IF(OR(NOT(ISNUMBER($C794)),$A795=""),"",$C794+N($E793))</f>
      </c>
      <c r="F794" s="13">
        <f>IF(NOT(ISNUMBER($E794)),"",IF($E794-$C794&lt;0.8,"A",IF($E794-$C794&lt;0.95,"B","C")))</f>
      </c>
    </row>
    <row r="795">
      <c r="E795" s="12">
        <f>IF(OR(NOT(ISNUMBER($C795)),$A796=""),"",$C795+N($E794))</f>
      </c>
      <c r="F795" s="13">
        <f>IF(NOT(ISNUMBER($E795)),"",IF($E795-$C795&lt;0.8,"A",IF($E795-$C795&lt;0.95,"B","C")))</f>
      </c>
    </row>
    <row r="796">
      <c r="E796" s="12">
        <f>IF(OR(NOT(ISNUMBER($C796)),$A797=""),"",$C796+N($E795))</f>
      </c>
      <c r="F796" s="13">
        <f>IF(NOT(ISNUMBER($E796)),"",IF($E796-$C796&lt;0.8,"A",IF($E796-$C796&lt;0.95,"B","C")))</f>
      </c>
    </row>
    <row r="797">
      <c r="E797" s="12">
        <f>IF(OR(NOT(ISNUMBER($C797)),$A798=""),"",$C797+N($E796))</f>
      </c>
      <c r="F797" s="13">
        <f>IF(NOT(ISNUMBER($E797)),"",IF($E797-$C797&lt;0.8,"A",IF($E797-$C797&lt;0.95,"B","C")))</f>
      </c>
    </row>
    <row r="798">
      <c r="E798" s="12">
        <f>IF(OR(NOT(ISNUMBER($C798)),$A799=""),"",$C798+N($E797))</f>
      </c>
      <c r="F798" s="13">
        <f>IF(NOT(ISNUMBER($E798)),"",IF($E798-$C798&lt;0.8,"A",IF($E798-$C798&lt;0.95,"B","C")))</f>
      </c>
    </row>
    <row r="799">
      <c r="E799" s="12">
        <f>IF(OR(NOT(ISNUMBER($C799)),$A800=""),"",$C799+N($E798))</f>
      </c>
      <c r="F799" s="13">
        <f>IF(NOT(ISNUMBER($E799)),"",IF($E799-$C799&lt;0.8,"A",IF($E799-$C799&lt;0.95,"B","C")))</f>
      </c>
    </row>
    <row r="800">
      <c r="E800" s="12">
        <f>IF(OR(NOT(ISNUMBER($C800)),$A801=""),"",$C800+N($E799))</f>
      </c>
      <c r="F800" s="13">
        <f>IF(NOT(ISNUMBER($E800)),"",IF($E800-$C800&lt;0.8,"A",IF($E800-$C800&lt;0.95,"B","C")))</f>
      </c>
    </row>
    <row r="801">
      <c r="E801" s="12">
        <f>IF(OR(NOT(ISNUMBER($C801)),$A802=""),"",$C801+N($E800))</f>
      </c>
      <c r="F801" s="13">
        <f>IF(NOT(ISNUMBER($E801)),"",IF($E801-$C801&lt;0.8,"A",IF($E801-$C801&lt;0.95,"B","C")))</f>
      </c>
    </row>
    <row r="802">
      <c r="E802" s="12">
        <f>IF(OR(NOT(ISNUMBER($C802)),$A803=""),"",$C802+N($E801))</f>
      </c>
      <c r="F802" s="13">
        <f>IF(NOT(ISNUMBER($E802)),"",IF($E802-$C802&lt;0.8,"A",IF($E802-$C802&lt;0.95,"B","C")))</f>
      </c>
    </row>
    <row r="803">
      <c r="E803" s="12">
        <f>IF(OR(NOT(ISNUMBER($C803)),$A804=""),"",$C803+N($E802))</f>
      </c>
      <c r="F803" s="13">
        <f>IF(NOT(ISNUMBER($E803)),"",IF($E803-$C803&lt;0.8,"A",IF($E803-$C803&lt;0.95,"B","C")))</f>
      </c>
    </row>
    <row r="804">
      <c r="E804" s="12">
        <f>IF(OR(NOT(ISNUMBER($C804)),$A805=""),"",$C804+N($E803))</f>
      </c>
      <c r="F804" s="13">
        <f>IF(NOT(ISNUMBER($E804)),"",IF($E804-$C804&lt;0.8,"A",IF($E804-$C804&lt;0.95,"B","C")))</f>
      </c>
    </row>
    <row r="805">
      <c r="E805" s="12">
        <f>IF(OR(NOT(ISNUMBER($C805)),$A806=""),"",$C805+N($E804))</f>
      </c>
      <c r="F805" s="13">
        <f>IF(NOT(ISNUMBER($E805)),"",IF($E805-$C805&lt;0.8,"A",IF($E805-$C805&lt;0.95,"B","C")))</f>
      </c>
    </row>
    <row r="806">
      <c r="E806" s="12">
        <f>IF(OR(NOT(ISNUMBER($C806)),$A807=""),"",$C806+N($E805))</f>
      </c>
      <c r="F806" s="13">
        <f>IF(NOT(ISNUMBER($E806)),"",IF($E806-$C806&lt;0.8,"A",IF($E806-$C806&lt;0.95,"B","C")))</f>
      </c>
    </row>
    <row r="807">
      <c r="E807" s="12">
        <f>IF(OR(NOT(ISNUMBER($C807)),$A808=""),"",$C807+N($E806))</f>
      </c>
      <c r="F807" s="13">
        <f>IF(NOT(ISNUMBER($E807)),"",IF($E807-$C807&lt;0.8,"A",IF($E807-$C807&lt;0.95,"B","C")))</f>
      </c>
    </row>
    <row r="808">
      <c r="E808" s="12">
        <f>IF(OR(NOT(ISNUMBER($C808)),$A809=""),"",$C808+N($E807))</f>
      </c>
      <c r="F808" s="13">
        <f>IF(NOT(ISNUMBER($E808)),"",IF($E808-$C808&lt;0.8,"A",IF($E808-$C808&lt;0.95,"B","C")))</f>
      </c>
    </row>
    <row r="809">
      <c r="E809" s="12">
        <f>IF(OR(NOT(ISNUMBER($C809)),$A810=""),"",$C809+N($E808))</f>
      </c>
      <c r="F809" s="13">
        <f>IF(NOT(ISNUMBER($E809)),"",IF($E809-$C809&lt;0.8,"A",IF($E809-$C809&lt;0.95,"B","C")))</f>
      </c>
    </row>
    <row r="810">
      <c r="E810" s="12">
        <f>IF(OR(NOT(ISNUMBER($C810)),$A811=""),"",$C810+N($E809))</f>
      </c>
      <c r="F810" s="13">
        <f>IF(NOT(ISNUMBER($E810)),"",IF($E810-$C810&lt;0.8,"A",IF($E810-$C810&lt;0.95,"B","C")))</f>
      </c>
    </row>
    <row r="811">
      <c r="E811" s="12">
        <f>IF(OR(NOT(ISNUMBER($C811)),$A812=""),"",$C811+N($E810))</f>
      </c>
      <c r="F811" s="13">
        <f>IF(NOT(ISNUMBER($E811)),"",IF($E811-$C811&lt;0.8,"A",IF($E811-$C811&lt;0.95,"B","C")))</f>
      </c>
    </row>
    <row r="812">
      <c r="E812" s="12">
        <f>IF(OR(NOT(ISNUMBER($C812)),$A813=""),"",$C812+N($E811))</f>
      </c>
      <c r="F812" s="13">
        <f>IF(NOT(ISNUMBER($E812)),"",IF($E812-$C812&lt;0.8,"A",IF($E812-$C812&lt;0.95,"B","C")))</f>
      </c>
    </row>
    <row r="813">
      <c r="E813" s="12">
        <f>IF(OR(NOT(ISNUMBER($C813)),$A814=""),"",$C813+N($E812))</f>
      </c>
      <c r="F813" s="13">
        <f>IF(NOT(ISNUMBER($E813)),"",IF($E813-$C813&lt;0.8,"A",IF($E813-$C813&lt;0.95,"B","C")))</f>
      </c>
    </row>
    <row r="814">
      <c r="E814" s="12">
        <f>IF(OR(NOT(ISNUMBER($C814)),$A815=""),"",$C814+N($E813))</f>
      </c>
      <c r="F814" s="13">
        <f>IF(NOT(ISNUMBER($E814)),"",IF($E814-$C814&lt;0.8,"A",IF($E814-$C814&lt;0.95,"B","C")))</f>
      </c>
    </row>
    <row r="815">
      <c r="E815" s="12">
        <f>IF(OR(NOT(ISNUMBER($C815)),$A816=""),"",$C815+N($E814))</f>
      </c>
      <c r="F815" s="13">
        <f>IF(NOT(ISNUMBER($E815)),"",IF($E815-$C815&lt;0.8,"A",IF($E815-$C815&lt;0.95,"B","C")))</f>
      </c>
    </row>
    <row r="816">
      <c r="E816" s="12">
        <f>IF(OR(NOT(ISNUMBER($C816)),$A817=""),"",$C816+N($E815))</f>
      </c>
      <c r="F816" s="13">
        <f>IF(NOT(ISNUMBER($E816)),"",IF($E816-$C816&lt;0.8,"A",IF($E816-$C816&lt;0.95,"B","C")))</f>
      </c>
    </row>
    <row r="817">
      <c r="E817" s="12">
        <f>IF(OR(NOT(ISNUMBER($C817)),$A818=""),"",$C817+N($E816))</f>
      </c>
      <c r="F817" s="13">
        <f>IF(NOT(ISNUMBER($E817)),"",IF($E817-$C817&lt;0.8,"A",IF($E817-$C817&lt;0.95,"B","C")))</f>
      </c>
    </row>
    <row r="818">
      <c r="E818" s="12">
        <f>IF(OR(NOT(ISNUMBER($C818)),$A819=""),"",$C818+N($E817))</f>
      </c>
      <c r="F818" s="13">
        <f>IF(NOT(ISNUMBER($E818)),"",IF($E818-$C818&lt;0.8,"A",IF($E818-$C818&lt;0.95,"B","C")))</f>
      </c>
    </row>
    <row r="819">
      <c r="E819" s="12">
        <f>IF(OR(NOT(ISNUMBER($C819)),$A820=""),"",$C819+N($E818))</f>
      </c>
      <c r="F819" s="13">
        <f>IF(NOT(ISNUMBER($E819)),"",IF($E819-$C819&lt;0.8,"A",IF($E819-$C819&lt;0.95,"B","C")))</f>
      </c>
    </row>
    <row r="820">
      <c r="E820" s="12">
        <f>IF(OR(NOT(ISNUMBER($C820)),$A821=""),"",$C820+N($E819))</f>
      </c>
      <c r="F820" s="13">
        <f>IF(NOT(ISNUMBER($E820)),"",IF($E820-$C820&lt;0.8,"A",IF($E820-$C820&lt;0.95,"B","C")))</f>
      </c>
    </row>
    <row r="821">
      <c r="E821" s="12">
        <f>IF(OR(NOT(ISNUMBER($C821)),$A822=""),"",$C821+N($E820))</f>
      </c>
      <c r="F821" s="13">
        <f>IF(NOT(ISNUMBER($E821)),"",IF($E821-$C821&lt;0.8,"A",IF($E821-$C821&lt;0.95,"B","C")))</f>
      </c>
    </row>
    <row r="822">
      <c r="E822" s="12">
        <f>IF(OR(NOT(ISNUMBER($C822)),$A823=""),"",$C822+N($E821))</f>
      </c>
      <c r="F822" s="13">
        <f>IF(NOT(ISNUMBER($E822)),"",IF($E822-$C822&lt;0.8,"A",IF($E822-$C822&lt;0.95,"B","C")))</f>
      </c>
    </row>
    <row r="823">
      <c r="E823" s="12">
        <f>IF(OR(NOT(ISNUMBER($C823)),$A824=""),"",$C823+N($E822))</f>
      </c>
      <c r="F823" s="13">
        <f>IF(NOT(ISNUMBER($E823)),"",IF($E823-$C823&lt;0.8,"A",IF($E823-$C823&lt;0.95,"B","C")))</f>
      </c>
    </row>
    <row r="824">
      <c r="E824" s="12">
        <f>IF(OR(NOT(ISNUMBER($C824)),$A825=""),"",$C824+N($E823))</f>
      </c>
      <c r="F824" s="13">
        <f>IF(NOT(ISNUMBER($E824)),"",IF($E824-$C824&lt;0.8,"A",IF($E824-$C824&lt;0.95,"B","C")))</f>
      </c>
    </row>
    <row r="825">
      <c r="E825" s="12">
        <f>IF(OR(NOT(ISNUMBER($C825)),$A826=""),"",$C825+N($E824))</f>
      </c>
      <c r="F825" s="13">
        <f>IF(NOT(ISNUMBER($E825)),"",IF($E825-$C825&lt;0.8,"A",IF($E825-$C825&lt;0.95,"B","C")))</f>
      </c>
    </row>
    <row r="826">
      <c r="E826" s="12">
        <f>IF(OR(NOT(ISNUMBER($C826)),$A827=""),"",$C826+N($E825))</f>
      </c>
      <c r="F826" s="13">
        <f>IF(NOT(ISNUMBER($E826)),"",IF($E826-$C826&lt;0.8,"A",IF($E826-$C826&lt;0.95,"B","C")))</f>
      </c>
    </row>
    <row r="827">
      <c r="E827" s="12">
        <f>IF(OR(NOT(ISNUMBER($C827)),$A828=""),"",$C827+N($E826))</f>
      </c>
      <c r="F827" s="13">
        <f>IF(NOT(ISNUMBER($E827)),"",IF($E827-$C827&lt;0.8,"A",IF($E827-$C827&lt;0.95,"B","C")))</f>
      </c>
    </row>
    <row r="828">
      <c r="E828" s="12">
        <f>IF(OR(NOT(ISNUMBER($C828)),$A829=""),"",$C828+N($E827))</f>
      </c>
      <c r="F828" s="13">
        <f>IF(NOT(ISNUMBER($E828)),"",IF($E828-$C828&lt;0.8,"A",IF($E828-$C828&lt;0.95,"B","C")))</f>
      </c>
    </row>
    <row r="829">
      <c r="E829" s="12">
        <f>IF(OR(NOT(ISNUMBER($C829)),$A830=""),"",$C829+N($E828))</f>
      </c>
      <c r="F829" s="13">
        <f>IF(NOT(ISNUMBER($E829)),"",IF($E829-$C829&lt;0.8,"A",IF($E829-$C829&lt;0.95,"B","C")))</f>
      </c>
    </row>
    <row r="830">
      <c r="E830" s="12">
        <f>IF(OR(NOT(ISNUMBER($C830)),$A831=""),"",$C830+N($E829))</f>
      </c>
      <c r="F830" s="13">
        <f>IF(NOT(ISNUMBER($E830)),"",IF($E830-$C830&lt;0.8,"A",IF($E830-$C830&lt;0.95,"B","C")))</f>
      </c>
    </row>
    <row r="831">
      <c r="E831" s="12">
        <f>IF(OR(NOT(ISNUMBER($C831)),$A832=""),"",$C831+N($E830))</f>
      </c>
      <c r="F831" s="13">
        <f>IF(NOT(ISNUMBER($E831)),"",IF($E831-$C831&lt;0.8,"A",IF($E831-$C831&lt;0.95,"B","C")))</f>
      </c>
    </row>
    <row r="832">
      <c r="E832" s="12">
        <f>IF(OR(NOT(ISNUMBER($C832)),$A833=""),"",$C832+N($E831))</f>
      </c>
      <c r="F832" s="13">
        <f>IF(NOT(ISNUMBER($E832)),"",IF($E832-$C832&lt;0.8,"A",IF($E832-$C832&lt;0.95,"B","C")))</f>
      </c>
    </row>
    <row r="833">
      <c r="E833" s="12">
        <f>IF(OR(NOT(ISNUMBER($C833)),$A834=""),"",$C833+N($E832))</f>
      </c>
      <c r="F833" s="13">
        <f>IF(NOT(ISNUMBER($E833)),"",IF($E833-$C833&lt;0.8,"A",IF($E833-$C833&lt;0.95,"B","C")))</f>
      </c>
    </row>
    <row r="834">
      <c r="E834" s="12">
        <f>IF(OR(NOT(ISNUMBER($C834)),$A835=""),"",$C834+N($E833))</f>
      </c>
      <c r="F834" s="13">
        <f>IF(NOT(ISNUMBER($E834)),"",IF($E834-$C834&lt;0.8,"A",IF($E834-$C834&lt;0.95,"B","C")))</f>
      </c>
    </row>
    <row r="835">
      <c r="E835" s="12">
        <f>IF(OR(NOT(ISNUMBER($C835)),$A836=""),"",$C835+N($E834))</f>
      </c>
      <c r="F835" s="13">
        <f>IF(NOT(ISNUMBER($E835)),"",IF($E835-$C835&lt;0.8,"A",IF($E835-$C835&lt;0.95,"B","C")))</f>
      </c>
    </row>
    <row r="836">
      <c r="E836" s="12">
        <f>IF(OR(NOT(ISNUMBER($C836)),$A837=""),"",$C836+N($E835))</f>
      </c>
      <c r="F836" s="13">
        <f>IF(NOT(ISNUMBER($E836)),"",IF($E836-$C836&lt;0.8,"A",IF($E836-$C836&lt;0.95,"B","C")))</f>
      </c>
    </row>
    <row r="837">
      <c r="E837" s="12">
        <f>IF(OR(NOT(ISNUMBER($C837)),$A838=""),"",$C837+N($E836))</f>
      </c>
      <c r="F837" s="13">
        <f>IF(NOT(ISNUMBER($E837)),"",IF($E837-$C837&lt;0.8,"A",IF($E837-$C837&lt;0.95,"B","C")))</f>
      </c>
    </row>
    <row r="838">
      <c r="E838" s="12">
        <f>IF(OR(NOT(ISNUMBER($C838)),$A839=""),"",$C838+N($E837))</f>
      </c>
      <c r="F838" s="13">
        <f>IF(NOT(ISNUMBER($E838)),"",IF($E838-$C838&lt;0.8,"A",IF($E838-$C838&lt;0.95,"B","C")))</f>
      </c>
    </row>
    <row r="839">
      <c r="E839" s="12">
        <f>IF(OR(NOT(ISNUMBER($C839)),$A840=""),"",$C839+N($E838))</f>
      </c>
      <c r="F839" s="13">
        <f>IF(NOT(ISNUMBER($E839)),"",IF($E839-$C839&lt;0.8,"A",IF($E839-$C839&lt;0.95,"B","C")))</f>
      </c>
    </row>
    <row r="840">
      <c r="E840" s="12">
        <f>IF(OR(NOT(ISNUMBER($C840)),$A841=""),"",$C840+N($E839))</f>
      </c>
      <c r="F840" s="13">
        <f>IF(NOT(ISNUMBER($E840)),"",IF($E840-$C840&lt;0.8,"A",IF($E840-$C840&lt;0.95,"B","C")))</f>
      </c>
    </row>
    <row r="841">
      <c r="E841" s="12">
        <f>IF(OR(NOT(ISNUMBER($C841)),$A842=""),"",$C841+N($E840))</f>
      </c>
      <c r="F841" s="13">
        <f>IF(NOT(ISNUMBER($E841)),"",IF($E841-$C841&lt;0.8,"A",IF($E841-$C841&lt;0.95,"B","C")))</f>
      </c>
    </row>
    <row r="842">
      <c r="E842" s="12">
        <f>IF(OR(NOT(ISNUMBER($C842)),$A843=""),"",$C842+N($E841))</f>
      </c>
      <c r="F842" s="13">
        <f>IF(NOT(ISNUMBER($E842)),"",IF($E842-$C842&lt;0.8,"A",IF($E842-$C842&lt;0.95,"B","C")))</f>
      </c>
    </row>
    <row r="843">
      <c r="E843" s="12">
        <f>IF(OR(NOT(ISNUMBER($C843)),$A844=""),"",$C843+N($E842))</f>
      </c>
      <c r="F843" s="13">
        <f>IF(NOT(ISNUMBER($E843)),"",IF($E843-$C843&lt;0.8,"A",IF($E843-$C843&lt;0.95,"B","C")))</f>
      </c>
    </row>
    <row r="844">
      <c r="E844" s="12">
        <f>IF(OR(NOT(ISNUMBER($C844)),$A845=""),"",$C844+N($E843))</f>
      </c>
      <c r="F844" s="13">
        <f>IF(NOT(ISNUMBER($E844)),"",IF($E844-$C844&lt;0.8,"A",IF($E844-$C844&lt;0.95,"B","C")))</f>
      </c>
    </row>
    <row r="845">
      <c r="E845" s="12">
        <f>IF(OR(NOT(ISNUMBER($C845)),$A846=""),"",$C845+N($E844))</f>
      </c>
      <c r="F845" s="13">
        <f>IF(NOT(ISNUMBER($E845)),"",IF($E845-$C845&lt;0.8,"A",IF($E845-$C845&lt;0.95,"B","C")))</f>
      </c>
    </row>
    <row r="846">
      <c r="E846" s="12">
        <f>IF(OR(NOT(ISNUMBER($C846)),$A847=""),"",$C846+N($E845))</f>
      </c>
      <c r="F846" s="13">
        <f>IF(NOT(ISNUMBER($E846)),"",IF($E846-$C846&lt;0.8,"A",IF($E846-$C846&lt;0.95,"B","C")))</f>
      </c>
    </row>
    <row r="847">
      <c r="E847" s="12">
        <f>IF(OR(NOT(ISNUMBER($C847)),$A848=""),"",$C847+N($E846))</f>
      </c>
      <c r="F847" s="13">
        <f>IF(NOT(ISNUMBER($E847)),"",IF($E847-$C847&lt;0.8,"A",IF($E847-$C847&lt;0.95,"B","C")))</f>
      </c>
    </row>
    <row r="848">
      <c r="E848" s="12">
        <f>IF(OR(NOT(ISNUMBER($C848)),$A849=""),"",$C848+N($E847))</f>
      </c>
      <c r="F848" s="13">
        <f>IF(NOT(ISNUMBER($E848)),"",IF($E848-$C848&lt;0.8,"A",IF($E848-$C848&lt;0.95,"B","C")))</f>
      </c>
    </row>
    <row r="849">
      <c r="E849" s="12">
        <f>IF(OR(NOT(ISNUMBER($C849)),$A850=""),"",$C849+N($E848))</f>
      </c>
      <c r="F849" s="13">
        <f>IF(NOT(ISNUMBER($E849)),"",IF($E849-$C849&lt;0.8,"A",IF($E849-$C849&lt;0.95,"B","C")))</f>
      </c>
    </row>
    <row r="850">
      <c r="E850" s="12">
        <f>IF(OR(NOT(ISNUMBER($C850)),$A851=""),"",$C850+N($E849))</f>
      </c>
      <c r="F850" s="13">
        <f>IF(NOT(ISNUMBER($E850)),"",IF($E850-$C850&lt;0.8,"A",IF($E850-$C850&lt;0.95,"B","C")))</f>
      </c>
    </row>
    <row r="851">
      <c r="E851" s="12">
        <f>IF(OR(NOT(ISNUMBER($C851)),$A852=""),"",$C851+N($E850))</f>
      </c>
      <c r="F851" s="13">
        <f>IF(NOT(ISNUMBER($E851)),"",IF($E851-$C851&lt;0.8,"A",IF($E851-$C851&lt;0.95,"B","C")))</f>
      </c>
    </row>
    <row r="852">
      <c r="E852" s="12">
        <f>IF(OR(NOT(ISNUMBER($C852)),$A853=""),"",$C852+N($E851))</f>
      </c>
      <c r="F852" s="13">
        <f>IF(NOT(ISNUMBER($E852)),"",IF($E852-$C852&lt;0.8,"A",IF($E852-$C852&lt;0.95,"B","C")))</f>
      </c>
    </row>
    <row r="853">
      <c r="E853" s="12">
        <f>IF(OR(NOT(ISNUMBER($C853)),$A854=""),"",$C853+N($E852))</f>
      </c>
      <c r="F853" s="13">
        <f>IF(NOT(ISNUMBER($E853)),"",IF($E853-$C853&lt;0.8,"A",IF($E853-$C853&lt;0.95,"B","C")))</f>
      </c>
    </row>
    <row r="854">
      <c r="E854" s="12">
        <f>IF(OR(NOT(ISNUMBER($C854)),$A855=""),"",$C854+N($E853))</f>
      </c>
      <c r="F854" s="13">
        <f>IF(NOT(ISNUMBER($E854)),"",IF($E854-$C854&lt;0.8,"A",IF($E854-$C854&lt;0.95,"B","C")))</f>
      </c>
    </row>
    <row r="855">
      <c r="E855" s="12">
        <f>IF(OR(NOT(ISNUMBER($C855)),$A856=""),"",$C855+N($E854))</f>
      </c>
      <c r="F855" s="13">
        <f>IF(NOT(ISNUMBER($E855)),"",IF($E855-$C855&lt;0.8,"A",IF($E855-$C855&lt;0.95,"B","C")))</f>
      </c>
    </row>
    <row r="856">
      <c r="E856" s="12">
        <f>IF(OR(NOT(ISNUMBER($C856)),$A857=""),"",$C856+N($E855))</f>
      </c>
      <c r="F856" s="13">
        <f>IF(NOT(ISNUMBER($E856)),"",IF($E856-$C856&lt;0.8,"A",IF($E856-$C856&lt;0.95,"B","C")))</f>
      </c>
    </row>
    <row r="857">
      <c r="E857" s="12">
        <f>IF(OR(NOT(ISNUMBER($C857)),$A858=""),"",$C857+N($E856))</f>
      </c>
      <c r="F857" s="13">
        <f>IF(NOT(ISNUMBER($E857)),"",IF($E857-$C857&lt;0.8,"A",IF($E857-$C857&lt;0.95,"B","C")))</f>
      </c>
    </row>
    <row r="858">
      <c r="E858" s="12">
        <f>IF(OR(NOT(ISNUMBER($C858)),$A859=""),"",$C858+N($E857))</f>
      </c>
      <c r="F858" s="13">
        <f>IF(NOT(ISNUMBER($E858)),"",IF($E858-$C858&lt;0.8,"A",IF($E858-$C858&lt;0.95,"B","C")))</f>
      </c>
    </row>
    <row r="859">
      <c r="E859" s="12">
        <f>IF(OR(NOT(ISNUMBER($C859)),$A860=""),"",$C859+N($E858))</f>
      </c>
      <c r="F859" s="13">
        <f>IF(NOT(ISNUMBER($E859)),"",IF($E859-$C859&lt;0.8,"A",IF($E859-$C859&lt;0.95,"B","C")))</f>
      </c>
    </row>
    <row r="860">
      <c r="E860" s="12">
        <f>IF(OR(NOT(ISNUMBER($C860)),$A861=""),"",$C860+N($E859))</f>
      </c>
      <c r="F860" s="13">
        <f>IF(NOT(ISNUMBER($E860)),"",IF($E860-$C860&lt;0.8,"A",IF($E860-$C860&lt;0.95,"B","C")))</f>
      </c>
    </row>
    <row r="861">
      <c r="E861" s="12">
        <f>IF(OR(NOT(ISNUMBER($C861)),$A862=""),"",$C861+N($E860))</f>
      </c>
      <c r="F861" s="13">
        <f>IF(NOT(ISNUMBER($E861)),"",IF($E861-$C861&lt;0.8,"A",IF($E861-$C861&lt;0.95,"B","C")))</f>
      </c>
    </row>
    <row r="862">
      <c r="E862" s="12">
        <f>IF(OR(NOT(ISNUMBER($C862)),$A863=""),"",$C862+N($E861))</f>
      </c>
      <c r="F862" s="13">
        <f>IF(NOT(ISNUMBER($E862)),"",IF($E862-$C862&lt;0.8,"A",IF($E862-$C862&lt;0.95,"B","C")))</f>
      </c>
    </row>
    <row r="863">
      <c r="E863" s="12">
        <f>IF(OR(NOT(ISNUMBER($C863)),$A864=""),"",$C863+N($E862))</f>
      </c>
      <c r="F863" s="13">
        <f>IF(NOT(ISNUMBER($E863)),"",IF($E863-$C863&lt;0.8,"A",IF($E863-$C863&lt;0.95,"B","C")))</f>
      </c>
    </row>
    <row r="864">
      <c r="E864" s="12">
        <f>IF(OR(NOT(ISNUMBER($C864)),$A865=""),"",$C864+N($E863))</f>
      </c>
      <c r="F864" s="13">
        <f>IF(NOT(ISNUMBER($E864)),"",IF($E864-$C864&lt;0.8,"A",IF($E864-$C864&lt;0.95,"B","C")))</f>
      </c>
    </row>
    <row r="865">
      <c r="E865" s="12">
        <f>IF(OR(NOT(ISNUMBER($C865)),$A866=""),"",$C865+N($E864))</f>
      </c>
      <c r="F865" s="13">
        <f>IF(NOT(ISNUMBER($E865)),"",IF($E865-$C865&lt;0.8,"A",IF($E865-$C865&lt;0.95,"B","C")))</f>
      </c>
    </row>
    <row r="866">
      <c r="E866" s="12">
        <f>IF(OR(NOT(ISNUMBER($C866)),$A867=""),"",$C866+N($E865))</f>
      </c>
      <c r="F866" s="13">
        <f>IF(NOT(ISNUMBER($E866)),"",IF($E866-$C866&lt;0.8,"A",IF($E866-$C866&lt;0.95,"B","C")))</f>
      </c>
    </row>
    <row r="867">
      <c r="E867" s="12">
        <f>IF(OR(NOT(ISNUMBER($C867)),$A868=""),"",$C867+N($E866))</f>
      </c>
      <c r="F867" s="13">
        <f>IF(NOT(ISNUMBER($E867)),"",IF($E867-$C867&lt;0.8,"A",IF($E867-$C867&lt;0.95,"B","C")))</f>
      </c>
    </row>
    <row r="868">
      <c r="E868" s="12">
        <f>IF(OR(NOT(ISNUMBER($C868)),$A869=""),"",$C868+N($E867))</f>
      </c>
      <c r="F868" s="13">
        <f>IF(NOT(ISNUMBER($E868)),"",IF($E868-$C868&lt;0.8,"A",IF($E868-$C868&lt;0.95,"B","C")))</f>
      </c>
    </row>
    <row r="869">
      <c r="E869" s="12">
        <f>IF(OR(NOT(ISNUMBER($C869)),$A870=""),"",$C869+N($E868))</f>
      </c>
      <c r="F869" s="13">
        <f>IF(NOT(ISNUMBER($E869)),"",IF($E869-$C869&lt;0.8,"A",IF($E869-$C869&lt;0.95,"B","C")))</f>
      </c>
    </row>
    <row r="870">
      <c r="E870" s="12">
        <f>IF(OR(NOT(ISNUMBER($C870)),$A871=""),"",$C870+N($E869))</f>
      </c>
      <c r="F870" s="13">
        <f>IF(NOT(ISNUMBER($E870)),"",IF($E870-$C870&lt;0.8,"A",IF($E870-$C870&lt;0.95,"B","C")))</f>
      </c>
    </row>
    <row r="871">
      <c r="E871" s="12">
        <f>IF(OR(NOT(ISNUMBER($C871)),$A872=""),"",$C871+N($E870))</f>
      </c>
      <c r="F871" s="13">
        <f>IF(NOT(ISNUMBER($E871)),"",IF($E871-$C871&lt;0.8,"A",IF($E871-$C871&lt;0.95,"B","C")))</f>
      </c>
    </row>
    <row r="872">
      <c r="E872" s="12">
        <f>IF(OR(NOT(ISNUMBER($C872)),$A873=""),"",$C872+N($E871))</f>
      </c>
      <c r="F872" s="13">
        <f>IF(NOT(ISNUMBER($E872)),"",IF($E872-$C872&lt;0.8,"A",IF($E872-$C872&lt;0.95,"B","C")))</f>
      </c>
    </row>
    <row r="873">
      <c r="E873" s="12">
        <f>IF(OR(NOT(ISNUMBER($C873)),$A874=""),"",$C873+N($E872))</f>
      </c>
      <c r="F873" s="13">
        <f>IF(NOT(ISNUMBER($E873)),"",IF($E873-$C873&lt;0.8,"A",IF($E873-$C873&lt;0.95,"B","C")))</f>
      </c>
    </row>
    <row r="874">
      <c r="E874" s="12">
        <f>IF(OR(NOT(ISNUMBER($C874)),$A875=""),"",$C874+N($E873))</f>
      </c>
      <c r="F874" s="13">
        <f>IF(NOT(ISNUMBER($E874)),"",IF($E874-$C874&lt;0.8,"A",IF($E874-$C874&lt;0.95,"B","C")))</f>
      </c>
    </row>
    <row r="875">
      <c r="E875" s="12">
        <f>IF(OR(NOT(ISNUMBER($C875)),$A876=""),"",$C875+N($E874))</f>
      </c>
      <c r="F875" s="13">
        <f>IF(NOT(ISNUMBER($E875)),"",IF($E875-$C875&lt;0.8,"A",IF($E875-$C875&lt;0.95,"B","C")))</f>
      </c>
    </row>
    <row r="876">
      <c r="E876" s="12">
        <f>IF(OR(NOT(ISNUMBER($C876)),$A877=""),"",$C876+N($E875))</f>
      </c>
      <c r="F876" s="13">
        <f>IF(NOT(ISNUMBER($E876)),"",IF($E876-$C876&lt;0.8,"A",IF($E876-$C876&lt;0.95,"B","C")))</f>
      </c>
    </row>
    <row r="877">
      <c r="E877" s="12">
        <f>IF(OR(NOT(ISNUMBER($C877)),$A878=""),"",$C877+N($E876))</f>
      </c>
      <c r="F877" s="13">
        <f>IF(NOT(ISNUMBER($E877)),"",IF($E877-$C877&lt;0.8,"A",IF($E877-$C877&lt;0.95,"B","C")))</f>
      </c>
    </row>
    <row r="878">
      <c r="E878" s="12">
        <f>IF(OR(NOT(ISNUMBER($C878)),$A879=""),"",$C878+N($E877))</f>
      </c>
      <c r="F878" s="13">
        <f>IF(NOT(ISNUMBER($E878)),"",IF($E878-$C878&lt;0.8,"A",IF($E878-$C878&lt;0.95,"B","C")))</f>
      </c>
    </row>
    <row r="879">
      <c r="E879" s="12">
        <f>IF(OR(NOT(ISNUMBER($C879)),$A880=""),"",$C879+N($E878))</f>
      </c>
      <c r="F879" s="13">
        <f>IF(NOT(ISNUMBER($E879)),"",IF($E879-$C879&lt;0.8,"A",IF($E879-$C879&lt;0.95,"B","C")))</f>
      </c>
    </row>
    <row r="880">
      <c r="E880" s="12">
        <f>IF(OR(NOT(ISNUMBER($C880)),$A881=""),"",$C880+N($E879))</f>
      </c>
      <c r="F880" s="13">
        <f>IF(NOT(ISNUMBER($E880)),"",IF($E880-$C880&lt;0.8,"A",IF($E880-$C880&lt;0.95,"B","C")))</f>
      </c>
    </row>
    <row r="881">
      <c r="E881" s="12">
        <f>IF(OR(NOT(ISNUMBER($C881)),$A882=""),"",$C881+N($E880))</f>
      </c>
      <c r="F881" s="13">
        <f>IF(NOT(ISNUMBER($E881)),"",IF($E881-$C881&lt;0.8,"A",IF($E881-$C881&lt;0.95,"B","C")))</f>
      </c>
    </row>
    <row r="882">
      <c r="E882" s="12">
        <f>IF(OR(NOT(ISNUMBER($C882)),$A883=""),"",$C882+N($E881))</f>
      </c>
      <c r="F882" s="13">
        <f>IF(NOT(ISNUMBER($E882)),"",IF($E882-$C882&lt;0.8,"A",IF($E882-$C882&lt;0.95,"B","C")))</f>
      </c>
    </row>
    <row r="883">
      <c r="E883" s="12">
        <f>IF(OR(NOT(ISNUMBER($C883)),$A884=""),"",$C883+N($E882))</f>
      </c>
      <c r="F883" s="13">
        <f>IF(NOT(ISNUMBER($E883)),"",IF($E883-$C883&lt;0.8,"A",IF($E883-$C883&lt;0.95,"B","C")))</f>
      </c>
    </row>
    <row r="884">
      <c r="E884" s="12">
        <f>IF(OR(NOT(ISNUMBER($C884)),$A885=""),"",$C884+N($E883))</f>
      </c>
      <c r="F884" s="13">
        <f>IF(NOT(ISNUMBER($E884)),"",IF($E884-$C884&lt;0.8,"A",IF($E884-$C884&lt;0.95,"B","C")))</f>
      </c>
    </row>
    <row r="885">
      <c r="E885" s="12">
        <f>IF(OR(NOT(ISNUMBER($C885)),$A886=""),"",$C885+N($E884))</f>
      </c>
      <c r="F885" s="13">
        <f>IF(NOT(ISNUMBER($E885)),"",IF($E885-$C885&lt;0.8,"A",IF($E885-$C885&lt;0.95,"B","C")))</f>
      </c>
    </row>
    <row r="886">
      <c r="E886" s="12">
        <f>IF(OR(NOT(ISNUMBER($C886)),$A887=""),"",$C886+N($E885))</f>
      </c>
      <c r="F886" s="13">
        <f>IF(NOT(ISNUMBER($E886)),"",IF($E886-$C886&lt;0.8,"A",IF($E886-$C886&lt;0.95,"B","C")))</f>
      </c>
    </row>
    <row r="887">
      <c r="E887" s="12">
        <f>IF(OR(NOT(ISNUMBER($C887)),$A888=""),"",$C887+N($E886))</f>
      </c>
      <c r="F887" s="13">
        <f>IF(NOT(ISNUMBER($E887)),"",IF($E887-$C887&lt;0.8,"A",IF($E887-$C887&lt;0.95,"B","C")))</f>
      </c>
    </row>
    <row r="888">
      <c r="E888" s="12">
        <f>IF(OR(NOT(ISNUMBER($C888)),$A889=""),"",$C888+N($E887))</f>
      </c>
      <c r="F888" s="13">
        <f>IF(NOT(ISNUMBER($E888)),"",IF($E888-$C888&lt;0.8,"A",IF($E888-$C888&lt;0.95,"B","C")))</f>
      </c>
    </row>
    <row r="889">
      <c r="E889" s="12">
        <f>IF(OR(NOT(ISNUMBER($C889)),$A890=""),"",$C889+N($E888))</f>
      </c>
      <c r="F889" s="13">
        <f>IF(NOT(ISNUMBER($E889)),"",IF($E889-$C889&lt;0.8,"A",IF($E889-$C889&lt;0.95,"B","C")))</f>
      </c>
    </row>
    <row r="890">
      <c r="E890" s="12">
        <f>IF(OR(NOT(ISNUMBER($C890)),$A891=""),"",$C890+N($E889))</f>
      </c>
      <c r="F890" s="13">
        <f>IF(NOT(ISNUMBER($E890)),"",IF($E890-$C890&lt;0.8,"A",IF($E890-$C890&lt;0.95,"B","C")))</f>
      </c>
    </row>
    <row r="891">
      <c r="E891" s="12">
        <f>IF(OR(NOT(ISNUMBER($C891)),$A892=""),"",$C891+N($E890))</f>
      </c>
      <c r="F891" s="13">
        <f>IF(NOT(ISNUMBER($E891)),"",IF($E891-$C891&lt;0.8,"A",IF($E891-$C891&lt;0.95,"B","C")))</f>
      </c>
    </row>
    <row r="892">
      <c r="E892" s="12">
        <f>IF(OR(NOT(ISNUMBER($C892)),$A893=""),"",$C892+N($E891))</f>
      </c>
      <c r="F892" s="13">
        <f>IF(NOT(ISNUMBER($E892)),"",IF($E892-$C892&lt;0.8,"A",IF($E892-$C892&lt;0.95,"B","C")))</f>
      </c>
    </row>
    <row r="893">
      <c r="E893" s="12">
        <f>IF(OR(NOT(ISNUMBER($C893)),$A894=""),"",$C893+N($E892))</f>
      </c>
      <c r="F893" s="13">
        <f>IF(NOT(ISNUMBER($E893)),"",IF($E893-$C893&lt;0.8,"A",IF($E893-$C893&lt;0.95,"B","C")))</f>
      </c>
    </row>
    <row r="894">
      <c r="E894" s="12">
        <f>IF(OR(NOT(ISNUMBER($C894)),$A895=""),"",$C894+N($E893))</f>
      </c>
      <c r="F894" s="13">
        <f>IF(NOT(ISNUMBER($E894)),"",IF($E894-$C894&lt;0.8,"A",IF($E894-$C894&lt;0.95,"B","C")))</f>
      </c>
    </row>
    <row r="895">
      <c r="E895" s="12">
        <f>IF(OR(NOT(ISNUMBER($C895)),$A896=""),"",$C895+N($E894))</f>
      </c>
      <c r="F895" s="13">
        <f>IF(NOT(ISNUMBER($E895)),"",IF($E895-$C895&lt;0.8,"A",IF($E895-$C895&lt;0.95,"B","C")))</f>
      </c>
    </row>
    <row r="896">
      <c r="E896" s="12">
        <f>IF(OR(NOT(ISNUMBER($C896)),$A897=""),"",$C896+N($E895))</f>
      </c>
      <c r="F896" s="13">
        <f>IF(NOT(ISNUMBER($E896)),"",IF($E896-$C896&lt;0.8,"A",IF($E896-$C896&lt;0.95,"B","C")))</f>
      </c>
    </row>
    <row r="897">
      <c r="E897" s="12">
        <f>IF(OR(NOT(ISNUMBER($C897)),$A898=""),"",$C897+N($E896))</f>
      </c>
      <c r="F897" s="13">
        <f>IF(NOT(ISNUMBER($E897)),"",IF($E897-$C897&lt;0.8,"A",IF($E897-$C897&lt;0.95,"B","C")))</f>
      </c>
    </row>
    <row r="898">
      <c r="E898" s="12">
        <f>IF(OR(NOT(ISNUMBER($C898)),$A899=""),"",$C898+N($E897))</f>
      </c>
      <c r="F898" s="13">
        <f>IF(NOT(ISNUMBER($E898)),"",IF($E898-$C898&lt;0.8,"A",IF($E898-$C898&lt;0.95,"B","C")))</f>
      </c>
    </row>
    <row r="899">
      <c r="E899" s="12">
        <f>IF(OR(NOT(ISNUMBER($C899)),$A900=""),"",$C899+N($E898))</f>
      </c>
      <c r="F899" s="13">
        <f>IF(NOT(ISNUMBER($E899)),"",IF($E899-$C899&lt;0.8,"A",IF($E899-$C899&lt;0.95,"B","C")))</f>
      </c>
    </row>
    <row r="900">
      <c r="E900" s="12">
        <f>IF(OR(NOT(ISNUMBER($C900)),$A901=""),"",$C900+N($E899))</f>
      </c>
      <c r="F900" s="13">
        <f>IF(NOT(ISNUMBER($E900)),"",IF($E900-$C900&lt;0.8,"A",IF($E900-$C900&lt;0.95,"B","C")))</f>
      </c>
    </row>
    <row r="901">
      <c r="E901" s="12">
        <f>IF(OR(NOT(ISNUMBER($C901)),$A902=""),"",$C901+N($E900))</f>
      </c>
      <c r="F901" s="13">
        <f>IF(NOT(ISNUMBER($E901)),"",IF($E901-$C901&lt;0.8,"A",IF($E901-$C901&lt;0.95,"B","C")))</f>
      </c>
    </row>
    <row r="902">
      <c r="E902" s="12">
        <f>IF(OR(NOT(ISNUMBER($C902)),$A903=""),"",$C902+N($E901))</f>
      </c>
      <c r="F902" s="13">
        <f>IF(NOT(ISNUMBER($E902)),"",IF($E902-$C902&lt;0.8,"A",IF($E902-$C902&lt;0.95,"B","C")))</f>
      </c>
    </row>
    <row r="903">
      <c r="E903" s="12">
        <f>IF(OR(NOT(ISNUMBER($C903)),$A904=""),"",$C903+N($E902))</f>
      </c>
      <c r="F903" s="13">
        <f>IF(NOT(ISNUMBER($E903)),"",IF($E903-$C903&lt;0.8,"A",IF($E903-$C903&lt;0.95,"B","C")))</f>
      </c>
    </row>
    <row r="904">
      <c r="E904" s="12">
        <f>IF(OR(NOT(ISNUMBER($C904)),$A905=""),"",$C904+N($E903))</f>
      </c>
      <c r="F904" s="13">
        <f>IF(NOT(ISNUMBER($E904)),"",IF($E904-$C904&lt;0.8,"A",IF($E904-$C904&lt;0.95,"B","C")))</f>
      </c>
    </row>
    <row r="905">
      <c r="E905" s="12">
        <f>IF(OR(NOT(ISNUMBER($C905)),$A906=""),"",$C905+N($E904))</f>
      </c>
      <c r="F905" s="13">
        <f>IF(NOT(ISNUMBER($E905)),"",IF($E905-$C905&lt;0.8,"A",IF($E905-$C905&lt;0.95,"B","C")))</f>
      </c>
    </row>
    <row r="906">
      <c r="E906" s="12">
        <f>IF(OR(NOT(ISNUMBER($C906)),$A907=""),"",$C906+N($E905))</f>
      </c>
      <c r="F906" s="13">
        <f>IF(NOT(ISNUMBER($E906)),"",IF($E906-$C906&lt;0.8,"A",IF($E906-$C906&lt;0.95,"B","C")))</f>
      </c>
    </row>
    <row r="907">
      <c r="E907" s="12">
        <f>IF(OR(NOT(ISNUMBER($C907)),$A908=""),"",$C907+N($E906))</f>
      </c>
      <c r="F907" s="13">
        <f>IF(NOT(ISNUMBER($E907)),"",IF($E907-$C907&lt;0.8,"A",IF($E907-$C907&lt;0.95,"B","C")))</f>
      </c>
    </row>
    <row r="908">
      <c r="E908" s="12">
        <f>IF(OR(NOT(ISNUMBER($C908)),$A909=""),"",$C908+N($E907))</f>
      </c>
      <c r="F908" s="13">
        <f>IF(NOT(ISNUMBER($E908)),"",IF($E908-$C908&lt;0.8,"A",IF($E908-$C908&lt;0.95,"B","C")))</f>
      </c>
    </row>
    <row r="909">
      <c r="E909" s="12">
        <f>IF(OR(NOT(ISNUMBER($C909)),$A910=""),"",$C909+N($E908))</f>
      </c>
      <c r="F909" s="13">
        <f>IF(NOT(ISNUMBER($E909)),"",IF($E909-$C909&lt;0.8,"A",IF($E909-$C909&lt;0.95,"B","C")))</f>
      </c>
    </row>
    <row r="910">
      <c r="E910" s="12">
        <f>IF(OR(NOT(ISNUMBER($C910)),$A911=""),"",$C910+N($E909))</f>
      </c>
      <c r="F910" s="13">
        <f>IF(NOT(ISNUMBER($E910)),"",IF($E910-$C910&lt;0.8,"A",IF($E910-$C910&lt;0.95,"B","C")))</f>
      </c>
    </row>
    <row r="911">
      <c r="E911" s="12">
        <f>IF(OR(NOT(ISNUMBER($C911)),$A912=""),"",$C911+N($E910))</f>
      </c>
      <c r="F911" s="13">
        <f>IF(NOT(ISNUMBER($E911)),"",IF($E911-$C911&lt;0.8,"A",IF($E911-$C911&lt;0.95,"B","C")))</f>
      </c>
    </row>
    <row r="912">
      <c r="E912" s="12">
        <f>IF(OR(NOT(ISNUMBER($C912)),$A913=""),"",$C912+N($E911))</f>
      </c>
      <c r="F912" s="13">
        <f>IF(NOT(ISNUMBER($E912)),"",IF($E912-$C912&lt;0.8,"A",IF($E912-$C912&lt;0.95,"B","C")))</f>
      </c>
    </row>
    <row r="913">
      <c r="E913" s="12">
        <f>IF(OR(NOT(ISNUMBER($C913)),$A914=""),"",$C913+N($E912))</f>
      </c>
      <c r="F913" s="13">
        <f>IF(NOT(ISNUMBER($E913)),"",IF($E913-$C913&lt;0.8,"A",IF($E913-$C913&lt;0.95,"B","C")))</f>
      </c>
    </row>
    <row r="914">
      <c r="E914" s="12">
        <f>IF(OR(NOT(ISNUMBER($C914)),$A915=""),"",$C914+N($E913))</f>
      </c>
      <c r="F914" s="13">
        <f>IF(NOT(ISNUMBER($E914)),"",IF($E914-$C914&lt;0.8,"A",IF($E914-$C914&lt;0.95,"B","C")))</f>
      </c>
    </row>
    <row r="915">
      <c r="E915" s="12">
        <f>IF(OR(NOT(ISNUMBER($C915)),$A916=""),"",$C915+N($E914))</f>
      </c>
      <c r="F915" s="13">
        <f>IF(NOT(ISNUMBER($E915)),"",IF($E915-$C915&lt;0.8,"A",IF($E915-$C915&lt;0.95,"B","C")))</f>
      </c>
    </row>
    <row r="916">
      <c r="E916" s="12">
        <f>IF(OR(NOT(ISNUMBER($C916)),$A917=""),"",$C916+N($E915))</f>
      </c>
      <c r="F916" s="13">
        <f>IF(NOT(ISNUMBER($E916)),"",IF($E916-$C916&lt;0.8,"A",IF($E916-$C916&lt;0.95,"B","C")))</f>
      </c>
    </row>
    <row r="917">
      <c r="E917" s="12">
        <f>IF(OR(NOT(ISNUMBER($C917)),$A918=""),"",$C917+N($E916))</f>
      </c>
      <c r="F917" s="13">
        <f>IF(NOT(ISNUMBER($E917)),"",IF($E917-$C917&lt;0.8,"A",IF($E917-$C917&lt;0.95,"B","C")))</f>
      </c>
    </row>
    <row r="918">
      <c r="E918" s="12">
        <f>IF(OR(NOT(ISNUMBER($C918)),$A919=""),"",$C918+N($E917))</f>
      </c>
      <c r="F918" s="13">
        <f>IF(NOT(ISNUMBER($E918)),"",IF($E918-$C918&lt;0.8,"A",IF($E918-$C918&lt;0.95,"B","C")))</f>
      </c>
    </row>
    <row r="919">
      <c r="E919" s="12">
        <f>IF(OR(NOT(ISNUMBER($C919)),$A920=""),"",$C919+N($E918))</f>
      </c>
      <c r="F919" s="13">
        <f>IF(NOT(ISNUMBER($E919)),"",IF($E919-$C919&lt;0.8,"A",IF($E919-$C919&lt;0.95,"B","C")))</f>
      </c>
    </row>
    <row r="920">
      <c r="E920" s="12">
        <f>IF(OR(NOT(ISNUMBER($C920)),$A921=""),"",$C920+N($E919))</f>
      </c>
      <c r="F920" s="13">
        <f>IF(NOT(ISNUMBER($E920)),"",IF($E920-$C920&lt;0.8,"A",IF($E920-$C920&lt;0.95,"B","C")))</f>
      </c>
    </row>
    <row r="921">
      <c r="E921" s="12">
        <f>IF(OR(NOT(ISNUMBER($C921)),$A922=""),"",$C921+N($E920))</f>
      </c>
      <c r="F921" s="13">
        <f>IF(NOT(ISNUMBER($E921)),"",IF($E921-$C921&lt;0.8,"A",IF($E921-$C921&lt;0.95,"B","C")))</f>
      </c>
    </row>
    <row r="922">
      <c r="E922" s="12">
        <f>IF(OR(NOT(ISNUMBER($C922)),$A923=""),"",$C922+N($E921))</f>
      </c>
      <c r="F922" s="13">
        <f>IF(NOT(ISNUMBER($E922)),"",IF($E922-$C922&lt;0.8,"A",IF($E922-$C922&lt;0.95,"B","C")))</f>
      </c>
    </row>
    <row r="923">
      <c r="E923" s="12">
        <f>IF(OR(NOT(ISNUMBER($C923)),$A924=""),"",$C923+N($E922))</f>
      </c>
      <c r="F923" s="13">
        <f>IF(NOT(ISNUMBER($E923)),"",IF($E923-$C923&lt;0.8,"A",IF($E923-$C923&lt;0.95,"B","C")))</f>
      </c>
    </row>
    <row r="924">
      <c r="E924" s="12">
        <f>IF(OR(NOT(ISNUMBER($C924)),$A925=""),"",$C924+N($E923))</f>
      </c>
      <c r="F924" s="13">
        <f>IF(NOT(ISNUMBER($E924)),"",IF($E924-$C924&lt;0.8,"A",IF($E924-$C924&lt;0.95,"B","C")))</f>
      </c>
    </row>
    <row r="925">
      <c r="E925" s="12">
        <f>IF(OR(NOT(ISNUMBER($C925)),$A926=""),"",$C925+N($E924))</f>
      </c>
      <c r="F925" s="13">
        <f>IF(NOT(ISNUMBER($E925)),"",IF($E925-$C925&lt;0.8,"A",IF($E925-$C925&lt;0.95,"B","C")))</f>
      </c>
    </row>
    <row r="926">
      <c r="E926" s="12">
        <f>IF(OR(NOT(ISNUMBER($C926)),$A927=""),"",$C926+N($E925))</f>
      </c>
      <c r="F926" s="13">
        <f>IF(NOT(ISNUMBER($E926)),"",IF($E926-$C926&lt;0.8,"A",IF($E926-$C926&lt;0.95,"B","C")))</f>
      </c>
    </row>
    <row r="927">
      <c r="E927" s="12">
        <f>IF(OR(NOT(ISNUMBER($C927)),$A928=""),"",$C927+N($E926))</f>
      </c>
      <c r="F927" s="13">
        <f>IF(NOT(ISNUMBER($E927)),"",IF($E927-$C927&lt;0.8,"A",IF($E927-$C927&lt;0.95,"B","C")))</f>
      </c>
    </row>
    <row r="928">
      <c r="E928" s="12">
        <f>IF(OR(NOT(ISNUMBER($C928)),$A929=""),"",$C928+N($E927))</f>
      </c>
      <c r="F928" s="13">
        <f>IF(NOT(ISNUMBER($E928)),"",IF($E928-$C928&lt;0.8,"A",IF($E928-$C928&lt;0.95,"B","C")))</f>
      </c>
    </row>
    <row r="929">
      <c r="E929" s="12">
        <f>IF(OR(NOT(ISNUMBER($C929)),$A930=""),"",$C929+N($E928))</f>
      </c>
      <c r="F929" s="13">
        <f>IF(NOT(ISNUMBER($E929)),"",IF($E929-$C929&lt;0.8,"A",IF($E929-$C929&lt;0.95,"B","C")))</f>
      </c>
    </row>
    <row r="930">
      <c r="E930" s="12">
        <f>IF(OR(NOT(ISNUMBER($C930)),$A931=""),"",$C930+N($E929))</f>
      </c>
      <c r="F930" s="13">
        <f>IF(NOT(ISNUMBER($E930)),"",IF($E930-$C930&lt;0.8,"A",IF($E930-$C930&lt;0.95,"B","C")))</f>
      </c>
    </row>
    <row r="931">
      <c r="E931" s="12">
        <f>IF(OR(NOT(ISNUMBER($C931)),$A932=""),"",$C931+N($E930))</f>
      </c>
      <c r="F931" s="13">
        <f>IF(NOT(ISNUMBER($E931)),"",IF($E931-$C931&lt;0.8,"A",IF($E931-$C931&lt;0.95,"B","C")))</f>
      </c>
    </row>
    <row r="932">
      <c r="E932" s="12">
        <f>IF(OR(NOT(ISNUMBER($C932)),$A933=""),"",$C932+N($E931))</f>
      </c>
      <c r="F932" s="13">
        <f>IF(NOT(ISNUMBER($E932)),"",IF($E932-$C932&lt;0.8,"A",IF($E932-$C932&lt;0.95,"B","C")))</f>
      </c>
    </row>
    <row r="933">
      <c r="E933" s="12">
        <f>IF(OR(NOT(ISNUMBER($C933)),$A934=""),"",$C933+N($E932))</f>
      </c>
      <c r="F933" s="13">
        <f>IF(NOT(ISNUMBER($E933)),"",IF($E933-$C933&lt;0.8,"A",IF($E933-$C933&lt;0.95,"B","C")))</f>
      </c>
    </row>
    <row r="934">
      <c r="E934" s="12">
        <f>IF(OR(NOT(ISNUMBER($C934)),$A935=""),"",$C934+N($E933))</f>
      </c>
      <c r="F934" s="13">
        <f>IF(NOT(ISNUMBER($E934)),"",IF($E934-$C934&lt;0.8,"A",IF($E934-$C934&lt;0.95,"B","C")))</f>
      </c>
    </row>
    <row r="935">
      <c r="E935" s="12">
        <f>IF(OR(NOT(ISNUMBER($C935)),$A936=""),"",$C935+N($E934))</f>
      </c>
      <c r="F935" s="13">
        <f>IF(NOT(ISNUMBER($E935)),"",IF($E935-$C935&lt;0.8,"A",IF($E935-$C935&lt;0.95,"B","C")))</f>
      </c>
    </row>
    <row r="936">
      <c r="E936" s="12">
        <f>IF(OR(NOT(ISNUMBER($C936)),$A937=""),"",$C936+N($E935))</f>
      </c>
      <c r="F936" s="13">
        <f>IF(NOT(ISNUMBER($E936)),"",IF($E936-$C936&lt;0.8,"A",IF($E936-$C936&lt;0.95,"B","C")))</f>
      </c>
    </row>
    <row r="937">
      <c r="E937" s="12">
        <f>IF(OR(NOT(ISNUMBER($C937)),$A938=""),"",$C937+N($E936))</f>
      </c>
      <c r="F937" s="13">
        <f>IF(NOT(ISNUMBER($E937)),"",IF($E937-$C937&lt;0.8,"A",IF($E937-$C937&lt;0.95,"B","C")))</f>
      </c>
    </row>
    <row r="938">
      <c r="E938" s="12">
        <f>IF(OR(NOT(ISNUMBER($C938)),$A939=""),"",$C938+N($E937))</f>
      </c>
      <c r="F938" s="13">
        <f>IF(NOT(ISNUMBER($E938)),"",IF($E938-$C938&lt;0.8,"A",IF($E938-$C938&lt;0.95,"B","C")))</f>
      </c>
    </row>
    <row r="939">
      <c r="E939" s="12">
        <f>IF(OR(NOT(ISNUMBER($C939)),$A940=""),"",$C939+N($E938))</f>
      </c>
      <c r="F939" s="13">
        <f>IF(NOT(ISNUMBER($E939)),"",IF($E939-$C939&lt;0.8,"A",IF($E939-$C939&lt;0.95,"B","C")))</f>
      </c>
    </row>
    <row r="940">
      <c r="E940" s="12">
        <f>IF(OR(NOT(ISNUMBER($C940)),$A941=""),"",$C940+N($E939))</f>
      </c>
      <c r="F940" s="13">
        <f>IF(NOT(ISNUMBER($E940)),"",IF($E940-$C940&lt;0.8,"A",IF($E940-$C940&lt;0.95,"B","C")))</f>
      </c>
    </row>
    <row r="941">
      <c r="E941" s="12">
        <f>IF(OR(NOT(ISNUMBER($C941)),$A942=""),"",$C941+N($E940))</f>
      </c>
      <c r="F941" s="13">
        <f>IF(NOT(ISNUMBER($E941)),"",IF($E941-$C941&lt;0.8,"A",IF($E941-$C941&lt;0.95,"B","C")))</f>
      </c>
    </row>
    <row r="942">
      <c r="E942" s="12">
        <f>IF(OR(NOT(ISNUMBER($C942)),$A943=""),"",$C942+N($E941))</f>
      </c>
      <c r="F942" s="13">
        <f>IF(NOT(ISNUMBER($E942)),"",IF($E942-$C942&lt;0.8,"A",IF($E942-$C942&lt;0.95,"B","C")))</f>
      </c>
    </row>
    <row r="943">
      <c r="E943" s="12">
        <f>IF(OR(NOT(ISNUMBER($C943)),$A944=""),"",$C943+N($E942))</f>
      </c>
      <c r="F943" s="13">
        <f>IF(NOT(ISNUMBER($E943)),"",IF($E943-$C943&lt;0.8,"A",IF($E943-$C943&lt;0.95,"B","C")))</f>
      </c>
    </row>
    <row r="944">
      <c r="E944" s="12">
        <f>IF(OR(NOT(ISNUMBER($C944)),$A945=""),"",$C944+N($E943))</f>
      </c>
      <c r="F944" s="13">
        <f>IF(NOT(ISNUMBER($E944)),"",IF($E944-$C944&lt;0.8,"A",IF($E944-$C944&lt;0.95,"B","C")))</f>
      </c>
    </row>
    <row r="945">
      <c r="E945" s="12">
        <f>IF(OR(NOT(ISNUMBER($C945)),$A946=""),"",$C945+N($E944))</f>
      </c>
      <c r="F945" s="13">
        <f>IF(NOT(ISNUMBER($E945)),"",IF($E945-$C945&lt;0.8,"A",IF($E945-$C945&lt;0.95,"B","C")))</f>
      </c>
    </row>
    <row r="946">
      <c r="E946" s="12">
        <f>IF(OR(NOT(ISNUMBER($C946)),$A947=""),"",$C946+N($E945))</f>
      </c>
      <c r="F946" s="13">
        <f>IF(NOT(ISNUMBER($E946)),"",IF($E946-$C946&lt;0.8,"A",IF($E946-$C946&lt;0.95,"B","C")))</f>
      </c>
    </row>
    <row r="947">
      <c r="E947" s="12">
        <f>IF(OR(NOT(ISNUMBER($C947)),$A948=""),"",$C947+N($E946))</f>
      </c>
      <c r="F947" s="13">
        <f>IF(NOT(ISNUMBER($E947)),"",IF($E947-$C947&lt;0.8,"A",IF($E947-$C947&lt;0.95,"B","C")))</f>
      </c>
    </row>
    <row r="948">
      <c r="E948" s="12">
        <f>IF(OR(NOT(ISNUMBER($C948)),$A949=""),"",$C948+N($E947))</f>
      </c>
      <c r="F948" s="13">
        <f>IF(NOT(ISNUMBER($E948)),"",IF($E948-$C948&lt;0.8,"A",IF($E948-$C948&lt;0.95,"B","C")))</f>
      </c>
    </row>
    <row r="949">
      <c r="E949" s="12">
        <f>IF(OR(NOT(ISNUMBER($C949)),$A950=""),"",$C949+N($E948))</f>
      </c>
      <c r="F949" s="13">
        <f>IF(NOT(ISNUMBER($E949)),"",IF($E949-$C949&lt;0.8,"A",IF($E949-$C949&lt;0.95,"B","C")))</f>
      </c>
    </row>
    <row r="950">
      <c r="E950" s="12">
        <f>IF(OR(NOT(ISNUMBER($C950)),$A951=""),"",$C950+N($E949))</f>
      </c>
      <c r="F950" s="13">
        <f>IF(NOT(ISNUMBER($E950)),"",IF($E950-$C950&lt;0.8,"A",IF($E950-$C950&lt;0.95,"B","C")))</f>
      </c>
    </row>
    <row r="951">
      <c r="E951" s="12">
        <f>IF(OR(NOT(ISNUMBER($C951)),$A952=""),"",$C951+N($E950))</f>
      </c>
      <c r="F951" s="13">
        <f>IF(NOT(ISNUMBER($E951)),"",IF($E951-$C951&lt;0.8,"A",IF($E951-$C951&lt;0.95,"B","C")))</f>
      </c>
    </row>
    <row r="952">
      <c r="E952" s="12">
        <f>IF(OR(NOT(ISNUMBER($C952)),$A953=""),"",$C952+N($E951))</f>
      </c>
      <c r="F952" s="13">
        <f>IF(NOT(ISNUMBER($E952)),"",IF($E952-$C952&lt;0.8,"A",IF($E952-$C952&lt;0.95,"B","C")))</f>
      </c>
    </row>
    <row r="953">
      <c r="E953" s="12">
        <f>IF(OR(NOT(ISNUMBER($C953)),$A954=""),"",$C953+N($E952))</f>
      </c>
      <c r="F953" s="13">
        <f>IF(NOT(ISNUMBER($E953)),"",IF($E953-$C953&lt;0.8,"A",IF($E953-$C953&lt;0.95,"B","C")))</f>
      </c>
    </row>
    <row r="954">
      <c r="E954" s="12">
        <f>IF(OR(NOT(ISNUMBER($C954)),$A955=""),"",$C954+N($E953))</f>
      </c>
      <c r="F954" s="13">
        <f>IF(NOT(ISNUMBER($E954)),"",IF($E954-$C954&lt;0.8,"A",IF($E954-$C954&lt;0.95,"B","C")))</f>
      </c>
    </row>
    <row r="955">
      <c r="E955" s="12">
        <f>IF(OR(NOT(ISNUMBER($C955)),$A956=""),"",$C955+N($E954))</f>
      </c>
      <c r="F955" s="13">
        <f>IF(NOT(ISNUMBER($E955)),"",IF($E955-$C955&lt;0.8,"A",IF($E955-$C955&lt;0.95,"B","C")))</f>
      </c>
    </row>
    <row r="956">
      <c r="E956" s="12">
        <f>IF(OR(NOT(ISNUMBER($C956)),$A957=""),"",$C956+N($E955))</f>
      </c>
      <c r="F956" s="13">
        <f>IF(NOT(ISNUMBER($E956)),"",IF($E956-$C956&lt;0.8,"A",IF($E956-$C956&lt;0.95,"B","C")))</f>
      </c>
    </row>
    <row r="957">
      <c r="E957" s="12">
        <f>IF(OR(NOT(ISNUMBER($C957)),$A958=""),"",$C957+N($E956))</f>
      </c>
      <c r="F957" s="13">
        <f>IF(NOT(ISNUMBER($E957)),"",IF($E957-$C957&lt;0.8,"A",IF($E957-$C957&lt;0.95,"B","C")))</f>
      </c>
    </row>
    <row r="958">
      <c r="E958" s="12">
        <f>IF(OR(NOT(ISNUMBER($C958)),$A959=""),"",$C958+N($E957))</f>
      </c>
      <c r="F958" s="13">
        <f>IF(NOT(ISNUMBER($E958)),"",IF($E958-$C958&lt;0.8,"A",IF($E958-$C958&lt;0.95,"B","C")))</f>
      </c>
    </row>
    <row r="959">
      <c r="E959" s="12">
        <f>IF(OR(NOT(ISNUMBER($C959)),$A960=""),"",$C959+N($E958))</f>
      </c>
      <c r="F959" s="13">
        <f>IF(NOT(ISNUMBER($E959)),"",IF($E959-$C959&lt;0.8,"A",IF($E959-$C959&lt;0.95,"B","C")))</f>
      </c>
    </row>
    <row r="960">
      <c r="E960" s="12">
        <f>IF(OR(NOT(ISNUMBER($C960)),$A961=""),"",$C960+N($E959))</f>
      </c>
      <c r="F960" s="13">
        <f>IF(NOT(ISNUMBER($E960)),"",IF($E960-$C960&lt;0.8,"A",IF($E960-$C960&lt;0.95,"B","C")))</f>
      </c>
    </row>
    <row r="961">
      <c r="E961" s="12">
        <f>IF(OR(NOT(ISNUMBER($C961)),$A962=""),"",$C961+N($E960))</f>
      </c>
      <c r="F961" s="13">
        <f>IF(NOT(ISNUMBER($E961)),"",IF($E961-$C961&lt;0.8,"A",IF($E961-$C961&lt;0.95,"B","C")))</f>
      </c>
    </row>
    <row r="962">
      <c r="E962" s="12">
        <f>IF(OR(NOT(ISNUMBER($C962)),$A963=""),"",$C962+N($E961))</f>
      </c>
      <c r="F962" s="13">
        <f>IF(NOT(ISNUMBER($E962)),"",IF($E962-$C962&lt;0.8,"A",IF($E962-$C962&lt;0.95,"B","C")))</f>
      </c>
    </row>
    <row r="963">
      <c r="E963" s="12">
        <f>IF(OR(NOT(ISNUMBER($C963)),$A964=""),"",$C963+N($E962))</f>
      </c>
      <c r="F963" s="13">
        <f>IF(NOT(ISNUMBER($E963)),"",IF($E963-$C963&lt;0.8,"A",IF($E963-$C963&lt;0.95,"B","C")))</f>
      </c>
    </row>
    <row r="964">
      <c r="E964" s="12">
        <f>IF(OR(NOT(ISNUMBER($C964)),$A965=""),"",$C964+N($E963))</f>
      </c>
      <c r="F964" s="13">
        <f>IF(NOT(ISNUMBER($E964)),"",IF($E964-$C964&lt;0.8,"A",IF($E964-$C964&lt;0.95,"B","C")))</f>
      </c>
    </row>
    <row r="965">
      <c r="E965" s="12">
        <f>IF(OR(NOT(ISNUMBER($C965)),$A966=""),"",$C965+N($E964))</f>
      </c>
      <c r="F965" s="13">
        <f>IF(NOT(ISNUMBER($E965)),"",IF($E965-$C965&lt;0.8,"A",IF($E965-$C965&lt;0.95,"B","C")))</f>
      </c>
    </row>
    <row r="966">
      <c r="E966" s="12">
        <f>IF(OR(NOT(ISNUMBER($C966)),$A967=""),"",$C966+N($E965))</f>
      </c>
      <c r="F966" s="13">
        <f>IF(NOT(ISNUMBER($E966)),"",IF($E966-$C966&lt;0.8,"A",IF($E966-$C966&lt;0.95,"B","C")))</f>
      </c>
    </row>
    <row r="967">
      <c r="E967" s="12">
        <f>IF(OR(NOT(ISNUMBER($C967)),$A968=""),"",$C967+N($E966))</f>
      </c>
      <c r="F967" s="13">
        <f>IF(NOT(ISNUMBER($E967)),"",IF($E967-$C967&lt;0.8,"A",IF($E967-$C967&lt;0.95,"B","C")))</f>
      </c>
    </row>
    <row r="968">
      <c r="E968" s="12">
        <f>IF(OR(NOT(ISNUMBER($C968)),$A969=""),"",$C968+N($E967))</f>
      </c>
      <c r="F968" s="13">
        <f>IF(NOT(ISNUMBER($E968)),"",IF($E968-$C968&lt;0.8,"A",IF($E968-$C968&lt;0.95,"B","C")))</f>
      </c>
    </row>
    <row r="969">
      <c r="E969" s="12">
        <f>IF(OR(NOT(ISNUMBER($C969)),$A970=""),"",$C969+N($E968))</f>
      </c>
      <c r="F969" s="13">
        <f>IF(NOT(ISNUMBER($E969)),"",IF($E969-$C969&lt;0.8,"A",IF($E969-$C969&lt;0.95,"B","C")))</f>
      </c>
    </row>
    <row r="970">
      <c r="E970" s="12">
        <f>IF(OR(NOT(ISNUMBER($C970)),$A971=""),"",$C970+N($E969))</f>
      </c>
      <c r="F970" s="13">
        <f>IF(NOT(ISNUMBER($E970)),"",IF($E970-$C970&lt;0.8,"A",IF($E970-$C970&lt;0.95,"B","C")))</f>
      </c>
    </row>
    <row r="971">
      <c r="E971" s="12">
        <f>IF(OR(NOT(ISNUMBER($C971)),$A972=""),"",$C971+N($E970))</f>
      </c>
      <c r="F971" s="13">
        <f>IF(NOT(ISNUMBER($E971)),"",IF($E971-$C971&lt;0.8,"A",IF($E971-$C971&lt;0.95,"B","C")))</f>
      </c>
    </row>
    <row r="972">
      <c r="E972" s="12">
        <f>IF(OR(NOT(ISNUMBER($C972)),$A973=""),"",$C972+N($E971))</f>
      </c>
      <c r="F972" s="13">
        <f>IF(NOT(ISNUMBER($E972)),"",IF($E972-$C972&lt;0.8,"A",IF($E972-$C972&lt;0.95,"B","C")))</f>
      </c>
    </row>
    <row r="973">
      <c r="E973" s="12">
        <f>IF(OR(NOT(ISNUMBER($C973)),$A974=""),"",$C973+N($E972))</f>
      </c>
      <c r="F973" s="13">
        <f>IF(NOT(ISNUMBER($E973)),"",IF($E973-$C973&lt;0.8,"A",IF($E973-$C973&lt;0.95,"B","C")))</f>
      </c>
    </row>
    <row r="974">
      <c r="E974" s="12">
        <f>IF(OR(NOT(ISNUMBER($C974)),$A975=""),"",$C974+N($E973))</f>
      </c>
      <c r="F974" s="13">
        <f>IF(NOT(ISNUMBER($E974)),"",IF($E974-$C974&lt;0.8,"A",IF($E974-$C974&lt;0.95,"B","C")))</f>
      </c>
    </row>
    <row r="975">
      <c r="E975" s="12">
        <f>IF(OR(NOT(ISNUMBER($C975)),$A976=""),"",$C975+N($E974))</f>
      </c>
      <c r="F975" s="13">
        <f>IF(NOT(ISNUMBER($E975)),"",IF($E975-$C975&lt;0.8,"A",IF($E975-$C975&lt;0.95,"B","C")))</f>
      </c>
    </row>
    <row r="976">
      <c r="E976" s="12">
        <f>IF(OR(NOT(ISNUMBER($C976)),$A977=""),"",$C976+N($E975))</f>
      </c>
      <c r="F976" s="13">
        <f>IF(NOT(ISNUMBER($E976)),"",IF($E976-$C976&lt;0.8,"A",IF($E976-$C976&lt;0.95,"B","C")))</f>
      </c>
    </row>
    <row r="977">
      <c r="E977" s="12">
        <f>IF(OR(NOT(ISNUMBER($C977)),$A978=""),"",$C977+N($E976))</f>
      </c>
      <c r="F977" s="13">
        <f>IF(NOT(ISNUMBER($E977)),"",IF($E977-$C977&lt;0.8,"A",IF($E977-$C977&lt;0.95,"B","C")))</f>
      </c>
    </row>
    <row r="978">
      <c r="E978" s="12">
        <f>IF(OR(NOT(ISNUMBER($C978)),$A979=""),"",$C978+N($E977))</f>
      </c>
      <c r="F978" s="13">
        <f>IF(NOT(ISNUMBER($E978)),"",IF($E978-$C978&lt;0.8,"A",IF($E978-$C978&lt;0.95,"B","C")))</f>
      </c>
    </row>
    <row r="979">
      <c r="E979" s="12">
        <f>IF(OR(NOT(ISNUMBER($C979)),$A980=""),"",$C979+N($E978))</f>
      </c>
      <c r="F979" s="13">
        <f>IF(NOT(ISNUMBER($E979)),"",IF($E979-$C979&lt;0.8,"A",IF($E979-$C979&lt;0.95,"B","C")))</f>
      </c>
    </row>
    <row r="980">
      <c r="E980" s="12">
        <f>IF(OR(NOT(ISNUMBER($C980)),$A981=""),"",$C980+N($E979))</f>
      </c>
      <c r="F980" s="13">
        <f>IF(NOT(ISNUMBER($E980)),"",IF($E980-$C980&lt;0.8,"A",IF($E980-$C980&lt;0.95,"B","C")))</f>
      </c>
    </row>
    <row r="981">
      <c r="E981" s="12">
        <f>IF(OR(NOT(ISNUMBER($C981)),$A982=""),"",$C981+N($E980))</f>
      </c>
      <c r="F981" s="13">
        <f>IF(NOT(ISNUMBER($E981)),"",IF($E981-$C981&lt;0.8,"A",IF($E981-$C981&lt;0.95,"B","C")))</f>
      </c>
    </row>
    <row r="982">
      <c r="E982" s="12">
        <f>IF(OR(NOT(ISNUMBER($C982)),$A983=""),"",$C982+N($E981))</f>
      </c>
      <c r="F982" s="13">
        <f>IF(NOT(ISNUMBER($E982)),"",IF($E982-$C982&lt;0.8,"A",IF($E982-$C982&lt;0.95,"B","C")))</f>
      </c>
    </row>
    <row r="983">
      <c r="E983" s="12">
        <f>IF(OR(NOT(ISNUMBER($C983)),$A984=""),"",$C983+N($E982))</f>
      </c>
      <c r="F983" s="13">
        <f>IF(NOT(ISNUMBER($E983)),"",IF($E983-$C983&lt;0.8,"A",IF($E983-$C983&lt;0.95,"B","C")))</f>
      </c>
    </row>
    <row r="984">
      <c r="E984" s="12">
        <f>IF(OR(NOT(ISNUMBER($C984)),$A985=""),"",$C984+N($E983))</f>
      </c>
      <c r="F984" s="13">
        <f>IF(NOT(ISNUMBER($E984)),"",IF($E984-$C984&lt;0.8,"A",IF($E984-$C984&lt;0.95,"B","C")))</f>
      </c>
    </row>
    <row r="985">
      <c r="E985" s="12">
        <f>IF(OR(NOT(ISNUMBER($C985)),$A986=""),"",$C985+N($E984))</f>
      </c>
      <c r="F985" s="13">
        <f>IF(NOT(ISNUMBER($E985)),"",IF($E985-$C985&lt;0.8,"A",IF($E985-$C985&lt;0.95,"B","C")))</f>
      </c>
    </row>
    <row r="986">
      <c r="E986" s="12">
        <f>IF(OR(NOT(ISNUMBER($C986)),$A987=""),"",$C986+N($E985))</f>
      </c>
      <c r="F986" s="13">
        <f>IF(NOT(ISNUMBER($E986)),"",IF($E986-$C986&lt;0.8,"A",IF($E986-$C986&lt;0.95,"B","C")))</f>
      </c>
    </row>
    <row r="987">
      <c r="E987" s="12">
        <f>IF(OR(NOT(ISNUMBER($C987)),$A988=""),"",$C987+N($E986))</f>
      </c>
      <c r="F987" s="13">
        <f>IF(NOT(ISNUMBER($E987)),"",IF($E987-$C987&lt;0.8,"A",IF($E987-$C987&lt;0.95,"B","C")))</f>
      </c>
    </row>
    <row r="988">
      <c r="E988" s="12">
        <f>IF(OR(NOT(ISNUMBER($C988)),$A989=""),"",$C988+N($E987))</f>
      </c>
      <c r="F988" s="13">
        <f>IF(NOT(ISNUMBER($E988)),"",IF($E988-$C988&lt;0.8,"A",IF($E988-$C988&lt;0.95,"B","C")))</f>
      </c>
    </row>
    <row r="989">
      <c r="E989" s="12">
        <f>IF(OR(NOT(ISNUMBER($C989)),$A990=""),"",$C989+N($E988))</f>
      </c>
      <c r="F989" s="13">
        <f>IF(NOT(ISNUMBER($E989)),"",IF($E989-$C989&lt;0.8,"A",IF($E989-$C989&lt;0.95,"B","C")))</f>
      </c>
    </row>
    <row r="990">
      <c r="E990" s="12">
        <f>IF(OR(NOT(ISNUMBER($C990)),$A991=""),"",$C990+N($E989))</f>
      </c>
      <c r="F990" s="13">
        <f>IF(NOT(ISNUMBER($E990)),"",IF($E990-$C990&lt;0.8,"A",IF($E990-$C990&lt;0.95,"B","C")))</f>
      </c>
    </row>
    <row r="991">
      <c r="E991" s="12">
        <f>IF(OR(NOT(ISNUMBER($C991)),$A992=""),"",$C991+N($E990))</f>
      </c>
      <c r="F991" s="13">
        <f>IF(NOT(ISNUMBER($E991)),"",IF($E991-$C991&lt;0.8,"A",IF($E991-$C991&lt;0.95,"B","C")))</f>
      </c>
    </row>
    <row r="992">
      <c r="E992" s="12">
        <f>IF(OR(NOT(ISNUMBER($C992)),$A993=""),"",$C992+N($E991))</f>
      </c>
      <c r="F992" s="13">
        <f>IF(NOT(ISNUMBER($E992)),"",IF($E992-$C992&lt;0.8,"A",IF($E992-$C992&lt;0.95,"B","C")))</f>
      </c>
    </row>
    <row r="993">
      <c r="E993" s="12">
        <f>IF(OR(NOT(ISNUMBER($C993)),$A994=""),"",$C993+N($E992))</f>
      </c>
      <c r="F993" s="13">
        <f>IF(NOT(ISNUMBER($E993)),"",IF($E993-$C993&lt;0.8,"A",IF($E993-$C993&lt;0.95,"B","C")))</f>
      </c>
    </row>
    <row r="994">
      <c r="E994" s="12">
        <f>IF(OR(NOT(ISNUMBER($C994)),$A995=""),"",$C994+N($E993))</f>
      </c>
      <c r="F994" s="13">
        <f>IF(NOT(ISNUMBER($E994)),"",IF($E994-$C994&lt;0.8,"A",IF($E994-$C994&lt;0.95,"B","C")))</f>
      </c>
    </row>
    <row r="995">
      <c r="E995" s="12">
        <f>IF(OR(NOT(ISNUMBER($C995)),$A996=""),"",$C995+N($E994))</f>
      </c>
      <c r="F995" s="13">
        <f>IF(NOT(ISNUMBER($E995)),"",IF($E995-$C995&lt;0.8,"A",IF($E995-$C995&lt;0.95,"B","C")))</f>
      </c>
    </row>
    <row r="996">
      <c r="E996" s="12">
        <f>IF(OR(NOT(ISNUMBER($C996)),$A997=""),"",$C996+N($E995))</f>
      </c>
      <c r="F996" s="13">
        <f>IF(NOT(ISNUMBER($E996)),"",IF($E996-$C996&lt;0.8,"A",IF($E996-$C996&lt;0.95,"B","C")))</f>
      </c>
    </row>
    <row r="997">
      <c r="E997" s="12">
        <f>IF(OR(NOT(ISNUMBER($C997)),$A998=""),"",$C997+N($E996))</f>
      </c>
      <c r="F997" s="13">
        <f>IF(NOT(ISNUMBER($E997)),"",IF($E997-$C997&lt;0.8,"A",IF($E997-$C997&lt;0.95,"B","C")))</f>
      </c>
    </row>
    <row r="998">
      <c r="E998" s="12">
        <f>IF(OR(NOT(ISNUMBER($C998)),$A999=""),"",$C998+N($E997))</f>
      </c>
      <c r="F998" s="13">
        <f>IF(NOT(ISNUMBER($E998)),"",IF($E998-$C998&lt;0.8,"A",IF($E998-$C998&lt;0.95,"B","C")))</f>
      </c>
    </row>
    <row r="999">
      <c r="E999" s="12">
        <f>IF(OR(NOT(ISNUMBER($C999)),$A1000=""),"",$C999+N($E998))</f>
      </c>
      <c r="F999" s="13">
        <f>IF(NOT(ISNUMBER($E999)),"",IF($E999-$C999&lt;0.8,"A",IF($E999-$C999&lt;0.95,"B","C")))</f>
      </c>
    </row>
    <row r="1000">
      <c r="E1000" s="12">
        <f>IF(OR(NOT(ISNUMBER($C1000)),$A1001=""),"",$C1000+N($E999))</f>
      </c>
      <c r="F1000" s="13">
        <f>IF(NOT(ISNUMBER($E1000)),"",IF($E1000-$C1000&lt;0.8,"A",IF($E1000-$C1000&lt;0.95,"B","C")))</f>
      </c>
    </row>
    <row r="1001">
      <c r="E1001" s="12">
        <f>IF(OR(NOT(ISNUMBER($C1001)),$A1002=""),"",$C1001+N($E1000))</f>
      </c>
      <c r="F1001" s="13">
        <f>IF(NOT(ISNUMBER($E1001)),"",IF($E1001-$C1001&lt;0.8,"A",IF($E1001-$C1001&lt;0.95,"B","C")))</f>
      </c>
    </row>
    <row r="1002">
      <c r="E1002" s="12">
        <f>IF(OR(NOT(ISNUMBER($C1002)),$A1003=""),"",$C1002+N($E1001))</f>
      </c>
      <c r="F1002" s="13">
        <f>IF(NOT(ISNUMBER($E1002)),"",IF($E1002-$C1002&lt;0.8,"A",IF($E1002-$C1002&lt;0.95,"B","C")))</f>
      </c>
    </row>
    <row r="1003">
      <c r="E1003" s="12">
        <f>IF(OR(NOT(ISNUMBER($C1003)),$A1004=""),"",$C1003+N($E1002))</f>
      </c>
      <c r="F1003" s="13">
        <f>IF(NOT(ISNUMBER($E1003)),"",IF($E1003-$C1003&lt;0.8,"A",IF($E1003-$C1003&lt;0.95,"B","C")))</f>
      </c>
    </row>
    <row r="1004">
      <c r="E1004" s="12">
        <f>IF(OR(NOT(ISNUMBER($C1004)),$A1005=""),"",$C1004+N($E1003))</f>
      </c>
      <c r="F1004" s="13">
        <f>IF(NOT(ISNUMBER($E1004)),"",IF($E1004-$C1004&lt;0.8,"A",IF($E1004-$C1004&lt;0.95,"B","C")))</f>
      </c>
    </row>
    <row r="1005">
      <c r="E1005" s="12">
        <f>IF(OR(NOT(ISNUMBER($C1005)),$A1006=""),"",$C1005+N($E1004))</f>
      </c>
      <c r="F1005" s="13">
        <f>IF(NOT(ISNUMBER($E1005)),"",IF($E1005-$C1005&lt;0.8,"A",IF($E1005-$C1005&lt;0.95,"B","C")))</f>
      </c>
    </row>
    <row r="1006">
      <c r="E1006" s="12">
        <f>IF(OR(NOT(ISNUMBER($C1006)),$A1007=""),"",$C1006+N($E1005))</f>
      </c>
      <c r="F1006" s="13">
        <f>IF(NOT(ISNUMBER($E1006)),"",IF($E1006-$C1006&lt;0.8,"A",IF($E1006-$C1006&lt;0.95,"B","C")))</f>
      </c>
    </row>
    <row r="1007">
      <c r="E1007" s="12">
        <f>IF(OR(NOT(ISNUMBER($C1007)),$A1008=""),"",$C1007+N($E1006))</f>
      </c>
      <c r="F1007" s="13">
        <f>IF(NOT(ISNUMBER($E1007)),"",IF($E1007-$C1007&lt;0.8,"A",IF($E1007-$C1007&lt;0.95,"B","C")))</f>
      </c>
    </row>
    <row r="1008">
      <c r="E1008" s="12">
        <f>IF(OR(NOT(ISNUMBER($C1008)),$A1009=""),"",$C1008+N($E1007))</f>
      </c>
      <c r="F1008" s="13">
        <f>IF(NOT(ISNUMBER($E1008)),"",IF($E1008-$C1008&lt;0.8,"A",IF($E1008-$C1008&lt;0.95,"B","C")))</f>
      </c>
    </row>
    <row r="1009">
      <c r="E1009" s="12">
        <f>IF(OR(NOT(ISNUMBER($C1009)),$A1010=""),"",$C1009+N($E1008))</f>
      </c>
      <c r="F1009" s="13">
        <f>IF(NOT(ISNUMBER($E1009)),"",IF($E1009-$C1009&lt;0.8,"A",IF($E1009-$C1009&lt;0.95,"B","C")))</f>
      </c>
    </row>
    <row r="1010">
      <c r="E1010" s="12">
        <f>IF(OR(NOT(ISNUMBER($C1010)),$A1011=""),"",$C1010+N($E1009))</f>
      </c>
      <c r="F1010" s="13">
        <f>IF(NOT(ISNUMBER($E1010)),"",IF($E1010-$C1010&lt;0.8,"A",IF($E1010-$C1010&lt;0.95,"B","C")))</f>
      </c>
    </row>
    <row r="1011">
      <c r="E1011" s="12">
        <f>IF(OR(NOT(ISNUMBER($C1011)),$A1012=""),"",$C1011+N($E1010))</f>
      </c>
      <c r="F1011" s="13">
        <f>IF(NOT(ISNUMBER($E1011)),"",IF($E1011-$C1011&lt;0.8,"A",IF($E1011-$C1011&lt;0.95,"B","C")))</f>
      </c>
    </row>
    <row r="1012">
      <c r="E1012" s="12">
        <f>IF(OR(NOT(ISNUMBER($C1012)),$A1013=""),"",$C1012+N($E1011))</f>
      </c>
      <c r="F1012" s="13">
        <f>IF(NOT(ISNUMBER($E1012)),"",IF($E1012-$C1012&lt;0.8,"A",IF($E1012-$C1012&lt;0.95,"B","C")))</f>
      </c>
    </row>
    <row r="1013">
      <c r="E1013" s="12">
        <f>IF(OR(NOT(ISNUMBER($C1013)),$A1014=""),"",$C1013+N($E1012))</f>
      </c>
      <c r="F1013" s="13">
        <f>IF(NOT(ISNUMBER($E1013)),"",IF($E1013-$C1013&lt;0.8,"A",IF($E1013-$C1013&lt;0.95,"B","C")))</f>
      </c>
    </row>
    <row r="1014">
      <c r="E1014" s="12">
        <f>IF(OR(NOT(ISNUMBER($C1014)),$A1015=""),"",$C1014+N($E1013))</f>
      </c>
      <c r="F1014" s="13">
        <f>IF(NOT(ISNUMBER($E1014)),"",IF($E1014-$C1014&lt;0.8,"A",IF($E1014-$C1014&lt;0.95,"B","C")))</f>
      </c>
    </row>
    <row r="1015">
      <c r="E1015" s="12">
        <f>IF(OR(NOT(ISNUMBER($C1015)),$A1016=""),"",$C1015+N($E1014))</f>
      </c>
      <c r="F1015" s="13">
        <f>IF(NOT(ISNUMBER($E1015)),"",IF($E1015-$C1015&lt;0.8,"A",IF($E1015-$C1015&lt;0.95,"B","C")))</f>
      </c>
    </row>
    <row r="1016">
      <c r="E1016" s="12">
        <f>IF(OR(NOT(ISNUMBER($C1016)),$A1017=""),"",$C1016+N($E1015))</f>
      </c>
      <c r="F1016" s="13">
        <f>IF(NOT(ISNUMBER($E1016)),"",IF($E1016-$C1016&lt;0.8,"A",IF($E1016-$C1016&lt;0.95,"B","C")))</f>
      </c>
    </row>
    <row r="1017">
      <c r="E1017" s="12">
        <f>IF(OR(NOT(ISNUMBER($C1017)),$A1018=""),"",$C1017+N($E1016))</f>
      </c>
      <c r="F1017" s="13">
        <f>IF(NOT(ISNUMBER($E1017)),"",IF($E1017-$C1017&lt;0.8,"A",IF($E1017-$C1017&lt;0.95,"B","C")))</f>
      </c>
    </row>
    <row r="1018">
      <c r="E1018" s="12">
        <f>IF(OR(NOT(ISNUMBER($C1018)),$A1019=""),"",$C1018+N($E1017))</f>
      </c>
      <c r="F1018" s="13">
        <f>IF(NOT(ISNUMBER($E1018)),"",IF($E1018-$C1018&lt;0.8,"A",IF($E1018-$C1018&lt;0.95,"B","C")))</f>
      </c>
    </row>
    <row r="1019">
      <c r="E1019" s="12">
        <f>IF(OR(NOT(ISNUMBER($C1019)),$A1020=""),"",$C1019+N($E1018))</f>
      </c>
      <c r="F1019" s="13">
        <f>IF(NOT(ISNUMBER($E1019)),"",IF($E1019-$C1019&lt;0.8,"A",IF($E1019-$C1019&lt;0.95,"B","C")))</f>
      </c>
    </row>
    <row r="1020">
      <c r="E1020" s="12">
        <f>IF(OR(NOT(ISNUMBER($C1020)),$A1021=""),"",$C1020+N($E1019))</f>
      </c>
      <c r="F1020" s="13">
        <f>IF(NOT(ISNUMBER($E1020)),"",IF($E1020-$C1020&lt;0.8,"A",IF($E1020-$C1020&lt;0.95,"B","C")))</f>
      </c>
    </row>
    <row r="1021">
      <c r="E1021" s="12">
        <f>IF(OR(NOT(ISNUMBER($C1021)),$A1022=""),"",$C1021+N($E1020))</f>
      </c>
      <c r="F1021" s="13">
        <f>IF(NOT(ISNUMBER($E1021)),"",IF($E1021-$C1021&lt;0.8,"A",IF($E1021-$C1021&lt;0.95,"B","C")))</f>
      </c>
    </row>
    <row r="1022">
      <c r="E1022" s="12">
        <f>IF(OR(NOT(ISNUMBER($C1022)),$A1023=""),"",$C1022+N($E1021))</f>
      </c>
      <c r="F1022" s="13">
        <f>IF(NOT(ISNUMBER($E1022)),"",IF($E1022-$C1022&lt;0.8,"A",IF($E1022-$C1022&lt;0.95,"B","C")))</f>
      </c>
    </row>
    <row r="1023">
      <c r="E1023" s="12">
        <f>IF(OR(NOT(ISNUMBER($C1023)),$A1024=""),"",$C1023+N($E1022))</f>
      </c>
      <c r="F1023" s="13">
        <f>IF(NOT(ISNUMBER($E1023)),"",IF($E1023-$C1023&lt;0.8,"A",IF($E1023-$C1023&lt;0.95,"B","C")))</f>
      </c>
    </row>
    <row r="1024">
      <c r="E1024" s="12">
        <f>IF(OR(NOT(ISNUMBER($C1024)),$A1025=""),"",$C1024+N($E1023))</f>
      </c>
      <c r="F1024" s="13">
        <f>IF(NOT(ISNUMBER($E1024)),"",IF($E1024-$C1024&lt;0.8,"A",IF($E1024-$C1024&lt;0.95,"B","C")))</f>
      </c>
    </row>
    <row r="1025">
      <c r="E1025" s="12">
        <f>IF(OR(NOT(ISNUMBER($C1025)),$A1026=""),"",$C1025+N($E1024))</f>
      </c>
      <c r="F1025" s="13">
        <f>IF(NOT(ISNUMBER($E1025)),"",IF($E1025-$C1025&lt;0.8,"A",IF($E1025-$C1025&lt;0.95,"B","C")))</f>
      </c>
    </row>
    <row r="1026">
      <c r="E1026" s="12">
        <f>IF(OR(NOT(ISNUMBER($C1026)),$A1027=""),"",$C1026+N($E1025))</f>
      </c>
      <c r="F1026" s="13">
        <f>IF(NOT(ISNUMBER($E1026)),"",IF($E1026-$C1026&lt;0.8,"A",IF($E1026-$C1026&lt;0.95,"B","C")))</f>
      </c>
    </row>
    <row r="1027">
      <c r="E1027" s="12">
        <f>IF(OR(NOT(ISNUMBER($C1027)),$A1028=""),"",$C1027+N($E1026))</f>
      </c>
      <c r="F1027" s="13">
        <f>IF(NOT(ISNUMBER($E1027)),"",IF($E1027-$C1027&lt;0.8,"A",IF($E1027-$C1027&lt;0.95,"B","C")))</f>
      </c>
    </row>
    <row r="1028">
      <c r="E1028" s="12">
        <f>IF(OR(NOT(ISNUMBER($C1028)),$A1029=""),"",$C1028+N($E1027))</f>
      </c>
      <c r="F1028" s="13">
        <f>IF(NOT(ISNUMBER($E1028)),"",IF($E1028-$C1028&lt;0.8,"A",IF($E1028-$C1028&lt;0.95,"B","C")))</f>
      </c>
    </row>
    <row r="1029">
      <c r="E1029" s="12">
        <f>IF(OR(NOT(ISNUMBER($C1029)),$A1030=""),"",$C1029+N($E1028))</f>
      </c>
      <c r="F1029" s="13">
        <f>IF(NOT(ISNUMBER($E1029)),"",IF($E1029-$C1029&lt;0.8,"A",IF($E1029-$C1029&lt;0.95,"B","C")))</f>
      </c>
    </row>
    <row r="1030">
      <c r="E1030" s="12">
        <f>IF(OR(NOT(ISNUMBER($C1030)),$A1031=""),"",$C1030+N($E1029))</f>
      </c>
      <c r="F1030" s="13">
        <f>IF(NOT(ISNUMBER($E1030)),"",IF($E1030-$C1030&lt;0.8,"A",IF($E1030-$C1030&lt;0.95,"B","C")))</f>
      </c>
    </row>
    <row r="1031">
      <c r="E1031" s="12">
        <f>IF(OR(NOT(ISNUMBER($C1031)),$A1032=""),"",$C1031+N($E1030))</f>
      </c>
      <c r="F1031" s="13">
        <f>IF(NOT(ISNUMBER($E1031)),"",IF($E1031-$C1031&lt;0.8,"A",IF($E1031-$C1031&lt;0.95,"B","C")))</f>
      </c>
    </row>
    <row r="1032">
      <c r="E1032" s="12">
        <f>IF(OR(NOT(ISNUMBER($C1032)),$A1033=""),"",$C1032+N($E1031))</f>
      </c>
      <c r="F1032" s="13">
        <f>IF(NOT(ISNUMBER($E1032)),"",IF($E1032-$C1032&lt;0.8,"A",IF($E1032-$C1032&lt;0.95,"B","C")))</f>
      </c>
    </row>
    <row r="1033">
      <c r="E1033" s="12">
        <f>IF(OR(NOT(ISNUMBER($C1033)),$A1034=""),"",$C1033+N($E1032))</f>
      </c>
      <c r="F1033" s="13">
        <f>IF(NOT(ISNUMBER($E1033)),"",IF($E1033-$C1033&lt;0.8,"A",IF($E1033-$C1033&lt;0.95,"B","C")))</f>
      </c>
    </row>
    <row r="1034">
      <c r="E1034" s="12">
        <f>IF(OR(NOT(ISNUMBER($C1034)),$A1035=""),"",$C1034+N($E1033))</f>
      </c>
      <c r="F1034" s="13">
        <f>IF(NOT(ISNUMBER($E1034)),"",IF($E1034-$C1034&lt;0.8,"A",IF($E1034-$C1034&lt;0.95,"B","C")))</f>
      </c>
    </row>
    <row r="1035">
      <c r="E1035" s="12">
        <f>IF(OR(NOT(ISNUMBER($C1035)),$A1036=""),"",$C1035+N($E1034))</f>
      </c>
      <c r="F1035" s="13">
        <f>IF(NOT(ISNUMBER($E1035)),"",IF($E1035-$C1035&lt;0.8,"A",IF($E1035-$C1035&lt;0.95,"B","C")))</f>
      </c>
    </row>
    <row r="1036">
      <c r="E1036" s="12">
        <f>IF(OR(NOT(ISNUMBER($C1036)),$A1037=""),"",$C1036+N($E1035))</f>
      </c>
      <c r="F1036" s="13">
        <f>IF(NOT(ISNUMBER($E1036)),"",IF($E1036-$C1036&lt;0.8,"A",IF($E1036-$C1036&lt;0.95,"B","C")))</f>
      </c>
    </row>
    <row r="1037">
      <c r="E1037" s="12">
        <f>IF(OR(NOT(ISNUMBER($C1037)),$A1038=""),"",$C1037+N($E1036))</f>
      </c>
      <c r="F1037" s="13">
        <f>IF(NOT(ISNUMBER($E1037)),"",IF($E1037-$C1037&lt;0.8,"A",IF($E1037-$C1037&lt;0.95,"B","C")))</f>
      </c>
    </row>
    <row r="1038">
      <c r="E1038" s="12">
        <f>IF(OR(NOT(ISNUMBER($C1038)),$A1039=""),"",$C1038+N($E1037))</f>
      </c>
      <c r="F1038" s="13">
        <f>IF(NOT(ISNUMBER($E1038)),"",IF($E1038-$C1038&lt;0.8,"A",IF($E1038-$C1038&lt;0.95,"B","C")))</f>
      </c>
    </row>
    <row r="1039">
      <c r="E1039" s="12">
        <f>IF(OR(NOT(ISNUMBER($C1039)),$A1040=""),"",$C1039+N($E1038))</f>
      </c>
      <c r="F1039" s="13">
        <f>IF(NOT(ISNUMBER($E1039)),"",IF($E1039-$C1039&lt;0.8,"A",IF($E1039-$C1039&lt;0.95,"B","C")))</f>
      </c>
    </row>
    <row r="1040">
      <c r="E1040" s="12">
        <f>IF(OR(NOT(ISNUMBER($C1040)),$A1041=""),"",$C1040+N($E1039))</f>
      </c>
      <c r="F1040" s="13">
        <f>IF(NOT(ISNUMBER($E1040)),"",IF($E1040-$C1040&lt;0.8,"A",IF($E1040-$C1040&lt;0.95,"B","C")))</f>
      </c>
    </row>
    <row r="1041">
      <c r="E1041" s="12">
        <f>IF(OR(NOT(ISNUMBER($C1041)),$A1042=""),"",$C1041+N($E1040))</f>
      </c>
      <c r="F1041" s="13">
        <f>IF(NOT(ISNUMBER($E1041)),"",IF($E1041-$C1041&lt;0.8,"A",IF($E1041-$C1041&lt;0.95,"B","C")))</f>
      </c>
    </row>
    <row r="1042">
      <c r="E1042" s="12">
        <f>IF(OR(NOT(ISNUMBER($C1042)),$A1043=""),"",$C1042+N($E1041))</f>
      </c>
      <c r="F1042" s="13">
        <f>IF(NOT(ISNUMBER($E1042)),"",IF($E1042-$C1042&lt;0.8,"A",IF($E1042-$C1042&lt;0.95,"B","C")))</f>
      </c>
    </row>
    <row r="1043">
      <c r="E1043" s="12">
        <f>IF(OR(NOT(ISNUMBER($C1043)),$A1044=""),"",$C1043+N($E1042))</f>
      </c>
      <c r="F1043" s="13">
        <f>IF(NOT(ISNUMBER($E1043)),"",IF($E1043-$C1043&lt;0.8,"A",IF($E1043-$C1043&lt;0.95,"B","C")))</f>
      </c>
    </row>
    <row r="1044">
      <c r="E1044" s="12">
        <f>IF(OR(NOT(ISNUMBER($C1044)),$A1045=""),"",$C1044+N($E1043))</f>
      </c>
      <c r="F1044" s="13">
        <f>IF(NOT(ISNUMBER($E1044)),"",IF($E1044-$C1044&lt;0.8,"A",IF($E1044-$C1044&lt;0.95,"B","C")))</f>
      </c>
    </row>
    <row r="1045">
      <c r="E1045" s="12">
        <f>IF(OR(NOT(ISNUMBER($C1045)),$A1046=""),"",$C1045+N($E1044))</f>
      </c>
      <c r="F1045" s="13">
        <f>IF(NOT(ISNUMBER($E1045)),"",IF($E1045-$C1045&lt;0.8,"A",IF($E1045-$C1045&lt;0.95,"B","C")))</f>
      </c>
    </row>
    <row r="1046">
      <c r="E1046" s="12">
        <f>IF(OR(NOT(ISNUMBER($C1046)),$A1047=""),"",$C1046+N($E1045))</f>
      </c>
      <c r="F1046" s="13">
        <f>IF(NOT(ISNUMBER($E1046)),"",IF($E1046-$C1046&lt;0.8,"A",IF($E1046-$C1046&lt;0.95,"B","C")))</f>
      </c>
    </row>
    <row r="1047">
      <c r="E1047" s="12">
        <f>IF(OR(NOT(ISNUMBER($C1047)),$A1048=""),"",$C1047+N($E1046))</f>
      </c>
      <c r="F1047" s="13">
        <f>IF(NOT(ISNUMBER($E1047)),"",IF($E1047-$C1047&lt;0.8,"A",IF($E1047-$C1047&lt;0.95,"B","C")))</f>
      </c>
    </row>
    <row r="1048">
      <c r="E1048" s="12">
        <f>IF(OR(NOT(ISNUMBER($C1048)),$A1049=""),"",$C1048+N($E1047))</f>
      </c>
      <c r="F1048" s="13">
        <f>IF(NOT(ISNUMBER($E1048)),"",IF($E1048-$C1048&lt;0.8,"A",IF($E1048-$C1048&lt;0.95,"B","C")))</f>
      </c>
    </row>
    <row r="1049">
      <c r="E1049" s="12">
        <f>IF(OR(NOT(ISNUMBER($C1049)),$A1050=""),"",$C1049+N($E1048))</f>
      </c>
      <c r="F1049" s="13">
        <f>IF(NOT(ISNUMBER($E1049)),"",IF($E1049-$C1049&lt;0.8,"A",IF($E1049-$C1049&lt;0.95,"B","C")))</f>
      </c>
    </row>
    <row r="1050">
      <c r="E1050" s="12">
        <f>IF(OR(NOT(ISNUMBER($C1050)),$A1051=""),"",$C1050+N($E1049))</f>
      </c>
      <c r="F1050" s="13">
        <f>IF(NOT(ISNUMBER($E1050)),"",IF($E1050-$C1050&lt;0.8,"A",IF($E1050-$C1050&lt;0.95,"B","C")))</f>
      </c>
    </row>
    <row r="1051">
      <c r="E1051" s="12">
        <f>IF(OR(NOT(ISNUMBER($C1051)),$A1052=""),"",$C1051+N($E1050))</f>
      </c>
      <c r="F1051" s="13">
        <f>IF(NOT(ISNUMBER($E1051)),"",IF($E1051-$C1051&lt;0.8,"A",IF($E1051-$C1051&lt;0.95,"B","C")))</f>
      </c>
    </row>
    <row r="1052">
      <c r="E1052" s="12">
        <f>IF(OR(NOT(ISNUMBER($C1052)),$A1053=""),"",$C1052+N($E1051))</f>
      </c>
      <c r="F1052" s="13">
        <f>IF(NOT(ISNUMBER($E1052)),"",IF($E1052-$C1052&lt;0.8,"A",IF($E1052-$C1052&lt;0.95,"B","C")))</f>
      </c>
    </row>
    <row r="1053">
      <c r="E1053" s="12">
        <f>IF(OR(NOT(ISNUMBER($C1053)),$A1054=""),"",$C1053+N($E1052))</f>
      </c>
      <c r="F1053" s="13">
        <f>IF(NOT(ISNUMBER($E1053)),"",IF($E1053-$C1053&lt;0.8,"A",IF($E1053-$C1053&lt;0.95,"B","C")))</f>
      </c>
    </row>
    <row r="1054">
      <c r="E1054" s="12">
        <f>IF(OR(NOT(ISNUMBER($C1054)),$A1055=""),"",$C1054+N($E1053))</f>
      </c>
      <c r="F1054" s="13">
        <f>IF(NOT(ISNUMBER($E1054)),"",IF($E1054-$C1054&lt;0.8,"A",IF($E1054-$C1054&lt;0.95,"B","C")))</f>
      </c>
    </row>
    <row r="1055">
      <c r="E1055" s="12">
        <f>IF(OR(NOT(ISNUMBER($C1055)),$A1056=""),"",$C1055+N($E1054))</f>
      </c>
      <c r="F1055" s="13">
        <f>IF(NOT(ISNUMBER($E1055)),"",IF($E1055-$C1055&lt;0.8,"A",IF($E1055-$C1055&lt;0.95,"B","C")))</f>
      </c>
    </row>
    <row r="1056">
      <c r="E1056" s="12">
        <f>IF(OR(NOT(ISNUMBER($C1056)),$A1057=""),"",$C1056+N($E1055))</f>
      </c>
      <c r="F1056" s="13">
        <f>IF(NOT(ISNUMBER($E1056)),"",IF($E1056-$C1056&lt;0.8,"A",IF($E1056-$C1056&lt;0.95,"B","C")))</f>
      </c>
    </row>
    <row r="1057">
      <c r="E1057" s="12">
        <f>IF(OR(NOT(ISNUMBER($C1057)),$A1058=""),"",$C1057+N($E1056))</f>
      </c>
      <c r="F1057" s="13">
        <f>IF(NOT(ISNUMBER($E1057)),"",IF($E1057-$C1057&lt;0.8,"A",IF($E1057-$C1057&lt;0.95,"B","C")))</f>
      </c>
    </row>
    <row r="1058">
      <c r="E1058" s="12">
        <f>IF(OR(NOT(ISNUMBER($C1058)),$A1059=""),"",$C1058+N($E1057))</f>
      </c>
      <c r="F1058" s="13">
        <f>IF(NOT(ISNUMBER($E1058)),"",IF($E1058-$C1058&lt;0.8,"A",IF($E1058-$C1058&lt;0.95,"B","C")))</f>
      </c>
    </row>
    <row r="1059">
      <c r="E1059" s="12">
        <f>IF(OR(NOT(ISNUMBER($C1059)),$A1060=""),"",$C1059+N($E1058))</f>
      </c>
      <c r="F1059" s="13">
        <f>IF(NOT(ISNUMBER($E1059)),"",IF($E1059-$C1059&lt;0.8,"A",IF($E1059-$C1059&lt;0.95,"B","C")))</f>
      </c>
    </row>
    <row r="1060">
      <c r="E1060" s="12">
        <f>IF(OR(NOT(ISNUMBER($C1060)),$A1061=""),"",$C1060+N($E1059))</f>
      </c>
      <c r="F1060" s="13">
        <f>IF(NOT(ISNUMBER($E1060)),"",IF($E1060-$C1060&lt;0.8,"A",IF($E1060-$C1060&lt;0.95,"B","C")))</f>
      </c>
    </row>
    <row r="1061">
      <c r="E1061" s="12">
        <f>IF(OR(NOT(ISNUMBER($C1061)),$A1062=""),"",$C1061+N($E1060))</f>
      </c>
      <c r="F1061" s="13">
        <f>IF(NOT(ISNUMBER($E1061)),"",IF($E1061-$C1061&lt;0.8,"A",IF($E1061-$C1061&lt;0.95,"B","C")))</f>
      </c>
    </row>
    <row r="1062">
      <c r="E1062" s="12">
        <f>IF(OR(NOT(ISNUMBER($C1062)),$A1063=""),"",$C1062+N($E1061))</f>
      </c>
      <c r="F1062" s="13">
        <f>IF(NOT(ISNUMBER($E1062)),"",IF($E1062-$C1062&lt;0.8,"A",IF($E1062-$C1062&lt;0.95,"B","C")))</f>
      </c>
    </row>
    <row r="1063">
      <c r="E1063" s="12">
        <f>IF(OR(NOT(ISNUMBER($C1063)),$A1064=""),"",$C1063+N($E1062))</f>
      </c>
      <c r="F1063" s="13">
        <f>IF(NOT(ISNUMBER($E1063)),"",IF($E1063-$C1063&lt;0.8,"A",IF($E1063-$C1063&lt;0.95,"B","C")))</f>
      </c>
    </row>
    <row r="1064">
      <c r="E1064" s="12">
        <f>IF(OR(NOT(ISNUMBER($C1064)),$A1065=""),"",$C1064+N($E1063))</f>
      </c>
      <c r="F1064" s="13">
        <f>IF(NOT(ISNUMBER($E1064)),"",IF($E1064-$C1064&lt;0.8,"A",IF($E1064-$C1064&lt;0.95,"B","C")))</f>
      </c>
    </row>
    <row r="1065">
      <c r="E1065" s="12">
        <f>IF(OR(NOT(ISNUMBER($C1065)),$A1066=""),"",$C1065+N($E1064))</f>
      </c>
      <c r="F1065" s="13">
        <f>IF(NOT(ISNUMBER($E1065)),"",IF($E1065-$C1065&lt;0.8,"A",IF($E1065-$C1065&lt;0.95,"B","C")))</f>
      </c>
    </row>
    <row r="1066">
      <c r="E1066" s="12">
        <f>IF(OR(NOT(ISNUMBER($C1066)),$A1067=""),"",$C1066+N($E1065))</f>
      </c>
      <c r="F1066" s="13">
        <f>IF(NOT(ISNUMBER($E1066)),"",IF($E1066-$C1066&lt;0.8,"A",IF($E1066-$C1066&lt;0.95,"B","C")))</f>
      </c>
    </row>
    <row r="1067">
      <c r="E1067" s="12">
        <f>IF(OR(NOT(ISNUMBER($C1067)),$A1068=""),"",$C1067+N($E1066))</f>
      </c>
      <c r="F1067" s="13">
        <f>IF(NOT(ISNUMBER($E1067)),"",IF($E1067-$C1067&lt;0.8,"A",IF($E1067-$C1067&lt;0.95,"B","C")))</f>
      </c>
    </row>
    <row r="1068">
      <c r="E1068" s="12">
        <f>IF(OR(NOT(ISNUMBER($C1068)),$A1069=""),"",$C1068+N($E1067))</f>
      </c>
      <c r="F1068" s="13">
        <f>IF(NOT(ISNUMBER($E1068)),"",IF($E1068-$C1068&lt;0.8,"A",IF($E1068-$C1068&lt;0.95,"B","C")))</f>
      </c>
    </row>
    <row r="1069">
      <c r="E1069" s="12">
        <f>IF(OR(NOT(ISNUMBER($C1069)),$A1070=""),"",$C1069+N($E1068))</f>
      </c>
      <c r="F1069" s="13">
        <f>IF(NOT(ISNUMBER($E1069)),"",IF($E1069-$C1069&lt;0.8,"A",IF($E1069-$C1069&lt;0.95,"B","C")))</f>
      </c>
    </row>
    <row r="1070">
      <c r="E1070" s="12">
        <f>IF(OR(NOT(ISNUMBER($C1070)),$A1071=""),"",$C1070+N($E1069))</f>
      </c>
      <c r="F1070" s="13">
        <f>IF(NOT(ISNUMBER($E1070)),"",IF($E1070-$C1070&lt;0.8,"A",IF($E1070-$C1070&lt;0.95,"B","C")))</f>
      </c>
    </row>
    <row r="1071">
      <c r="E1071" s="12">
        <f>IF(OR(NOT(ISNUMBER($C1071)),$A1072=""),"",$C1071+N($E1070))</f>
      </c>
      <c r="F1071" s="13">
        <f>IF(NOT(ISNUMBER($E1071)),"",IF($E1071-$C1071&lt;0.8,"A",IF($E1071-$C1071&lt;0.95,"B","C")))</f>
      </c>
    </row>
    <row r="1072">
      <c r="E1072" s="12">
        <f>IF(OR(NOT(ISNUMBER($C1072)),$A1073=""),"",$C1072+N($E1071))</f>
      </c>
      <c r="F1072" s="13">
        <f>IF(NOT(ISNUMBER($E1072)),"",IF($E1072-$C1072&lt;0.8,"A",IF($E1072-$C1072&lt;0.95,"B","C")))</f>
      </c>
    </row>
    <row r="1073">
      <c r="E1073" s="12">
        <f>IF(OR(NOT(ISNUMBER($C1073)),$A1074=""),"",$C1073+N($E1072))</f>
      </c>
      <c r="F1073" s="13">
        <f>IF(NOT(ISNUMBER($E1073)),"",IF($E1073-$C1073&lt;0.8,"A",IF($E1073-$C1073&lt;0.95,"B","C")))</f>
      </c>
    </row>
    <row r="1074">
      <c r="E1074" s="12">
        <f>IF(OR(NOT(ISNUMBER($C1074)),$A1075=""),"",$C1074+N($E1073))</f>
      </c>
      <c r="F1074" s="13">
        <f>IF(NOT(ISNUMBER($E1074)),"",IF($E1074-$C1074&lt;0.8,"A",IF($E1074-$C1074&lt;0.95,"B","C")))</f>
      </c>
    </row>
    <row r="1075">
      <c r="E1075" s="12">
        <f>IF(OR(NOT(ISNUMBER($C1075)),$A1076=""),"",$C1075+N($E1074))</f>
      </c>
      <c r="F1075" s="13">
        <f>IF(NOT(ISNUMBER($E1075)),"",IF($E1075-$C1075&lt;0.8,"A",IF($E1075-$C1075&lt;0.95,"B","C")))</f>
      </c>
    </row>
    <row r="1076">
      <c r="E1076" s="12">
        <f>IF(OR(NOT(ISNUMBER($C1076)),$A1077=""),"",$C1076+N($E1075))</f>
      </c>
      <c r="F1076" s="13">
        <f>IF(NOT(ISNUMBER($E1076)),"",IF($E1076-$C1076&lt;0.8,"A",IF($E1076-$C1076&lt;0.95,"B","C")))</f>
      </c>
    </row>
    <row r="1077">
      <c r="E1077" s="12">
        <f>IF(OR(NOT(ISNUMBER($C1077)),$A1078=""),"",$C1077+N($E1076))</f>
      </c>
      <c r="F1077" s="13">
        <f>IF(NOT(ISNUMBER($E1077)),"",IF($E1077-$C1077&lt;0.8,"A",IF($E1077-$C1077&lt;0.95,"B","C")))</f>
      </c>
    </row>
    <row r="1078">
      <c r="E1078" s="12">
        <f>IF(OR(NOT(ISNUMBER($C1078)),$A1079=""),"",$C1078+N($E1077))</f>
      </c>
      <c r="F1078" s="13">
        <f>IF(NOT(ISNUMBER($E1078)),"",IF($E1078-$C1078&lt;0.8,"A",IF($E1078-$C1078&lt;0.95,"B","C")))</f>
      </c>
    </row>
    <row r="1079">
      <c r="E1079" s="12">
        <f>IF(OR(NOT(ISNUMBER($C1079)),$A1080=""),"",$C1079+N($E1078))</f>
      </c>
      <c r="F1079" s="13">
        <f>IF(NOT(ISNUMBER($E1079)),"",IF($E1079-$C1079&lt;0.8,"A",IF($E1079-$C1079&lt;0.95,"B","C")))</f>
      </c>
    </row>
    <row r="1080">
      <c r="E1080" s="12">
        <f>IF(OR(NOT(ISNUMBER($C1080)),$A1081=""),"",$C1080+N($E1079))</f>
      </c>
      <c r="F1080" s="13">
        <f>IF(NOT(ISNUMBER($E1080)),"",IF($E1080-$C1080&lt;0.8,"A",IF($E1080-$C1080&lt;0.95,"B","C")))</f>
      </c>
    </row>
    <row r="1081">
      <c r="E1081" s="12">
        <f>IF(OR(NOT(ISNUMBER($C1081)),$A1082=""),"",$C1081+N($E1080))</f>
      </c>
      <c r="F1081" s="13">
        <f>IF(NOT(ISNUMBER($E1081)),"",IF($E1081-$C1081&lt;0.8,"A",IF($E1081-$C1081&lt;0.95,"B","C")))</f>
      </c>
    </row>
    <row r="1082">
      <c r="E1082" s="12">
        <f>IF(OR(NOT(ISNUMBER($C1082)),$A1083=""),"",$C1082+N($E1081))</f>
      </c>
      <c r="F1082" s="13">
        <f>IF(NOT(ISNUMBER($E1082)),"",IF($E1082-$C1082&lt;0.8,"A",IF($E1082-$C1082&lt;0.95,"B","C")))</f>
      </c>
    </row>
    <row r="1083">
      <c r="E1083" s="12">
        <f>IF(OR(NOT(ISNUMBER($C1083)),$A1084=""),"",$C1083+N($E1082))</f>
      </c>
      <c r="F1083" s="13">
        <f>IF(NOT(ISNUMBER($E1083)),"",IF($E1083-$C1083&lt;0.8,"A",IF($E1083-$C1083&lt;0.95,"B","C")))</f>
      </c>
    </row>
    <row r="1084">
      <c r="E1084" s="12">
        <f>IF(OR(NOT(ISNUMBER($C1084)),$A1085=""),"",$C1084+N($E1083))</f>
      </c>
      <c r="F1084" s="13">
        <f>IF(NOT(ISNUMBER($E1084)),"",IF($E1084-$C1084&lt;0.8,"A",IF($E1084-$C1084&lt;0.95,"B","C")))</f>
      </c>
    </row>
    <row r="1085">
      <c r="E1085" s="12">
        <f>IF(OR(NOT(ISNUMBER($C1085)),$A1086=""),"",$C1085+N($E1084))</f>
      </c>
      <c r="F1085" s="13">
        <f>IF(NOT(ISNUMBER($E1085)),"",IF($E1085-$C1085&lt;0.8,"A",IF($E1085-$C1085&lt;0.95,"B","C")))</f>
      </c>
    </row>
    <row r="1086">
      <c r="E1086" s="12">
        <f>IF(OR(NOT(ISNUMBER($C1086)),$A1087=""),"",$C1086+N($E1085))</f>
      </c>
      <c r="F1086" s="13">
        <f>IF(NOT(ISNUMBER($E1086)),"",IF($E1086-$C1086&lt;0.8,"A",IF($E1086-$C1086&lt;0.95,"B","C")))</f>
      </c>
    </row>
    <row r="1087">
      <c r="E1087" s="12">
        <f>IF(OR(NOT(ISNUMBER($C1087)),$A1088=""),"",$C1087+N($E1086))</f>
      </c>
      <c r="F1087" s="13">
        <f>IF(NOT(ISNUMBER($E1087)),"",IF($E1087-$C1087&lt;0.8,"A",IF($E1087-$C1087&lt;0.95,"B","C")))</f>
      </c>
    </row>
    <row r="1088">
      <c r="E1088" s="12">
        <f>IF(OR(NOT(ISNUMBER($C1088)),$A1089=""),"",$C1088+N($E1087))</f>
      </c>
      <c r="F1088" s="13">
        <f>IF(NOT(ISNUMBER($E1088)),"",IF($E1088-$C1088&lt;0.8,"A",IF($E1088-$C1088&lt;0.95,"B","C")))</f>
      </c>
    </row>
    <row r="1089">
      <c r="E1089" s="12">
        <f>IF(OR(NOT(ISNUMBER($C1089)),$A1090=""),"",$C1089+N($E1088))</f>
      </c>
      <c r="F1089" s="13">
        <f>IF(NOT(ISNUMBER($E1089)),"",IF($E1089-$C1089&lt;0.8,"A",IF($E1089-$C1089&lt;0.95,"B","C")))</f>
      </c>
    </row>
    <row r="1090">
      <c r="E1090" s="12">
        <f>IF(OR(NOT(ISNUMBER($C1090)),$A1091=""),"",$C1090+N($E1089))</f>
      </c>
      <c r="F1090" s="13">
        <f>IF(NOT(ISNUMBER($E1090)),"",IF($E1090-$C1090&lt;0.8,"A",IF($E1090-$C1090&lt;0.95,"B","C")))</f>
      </c>
    </row>
    <row r="1091">
      <c r="E1091" s="12">
        <f>IF(OR(NOT(ISNUMBER($C1091)),$A1092=""),"",$C1091+N($E1090))</f>
      </c>
      <c r="F1091" s="13">
        <f>IF(NOT(ISNUMBER($E1091)),"",IF($E1091-$C1091&lt;0.8,"A",IF($E1091-$C1091&lt;0.95,"B","C")))</f>
      </c>
    </row>
    <row r="1092">
      <c r="E1092" s="12">
        <f>IF(OR(NOT(ISNUMBER($C1092)),$A1093=""),"",$C1092+N($E1091))</f>
      </c>
      <c r="F1092" s="13">
        <f>IF(NOT(ISNUMBER($E1092)),"",IF($E1092-$C1092&lt;0.8,"A",IF($E1092-$C1092&lt;0.95,"B","C")))</f>
      </c>
    </row>
    <row r="1093">
      <c r="E1093" s="12">
        <f>IF(OR(NOT(ISNUMBER($C1093)),$A1094=""),"",$C1093+N($E1092))</f>
      </c>
      <c r="F1093" s="13">
        <f>IF(NOT(ISNUMBER($E1093)),"",IF($E1093-$C1093&lt;0.8,"A",IF($E1093-$C1093&lt;0.95,"B","C")))</f>
      </c>
    </row>
    <row r="1094">
      <c r="E1094" s="12">
        <f>IF(OR(NOT(ISNUMBER($C1094)),$A1095=""),"",$C1094+N($E1093))</f>
      </c>
      <c r="F1094" s="13">
        <f>IF(NOT(ISNUMBER($E1094)),"",IF($E1094-$C1094&lt;0.8,"A",IF($E1094-$C1094&lt;0.95,"B","C")))</f>
      </c>
    </row>
    <row r="1095">
      <c r="E1095" s="12">
        <f>IF(OR(NOT(ISNUMBER($C1095)),$A1096=""),"",$C1095+N($E1094))</f>
      </c>
      <c r="F1095" s="13">
        <f>IF(NOT(ISNUMBER($E1095)),"",IF($E1095-$C1095&lt;0.8,"A",IF($E1095-$C1095&lt;0.95,"B","C")))</f>
      </c>
    </row>
    <row r="1096">
      <c r="E1096" s="12">
        <f>IF(OR(NOT(ISNUMBER($C1096)),$A1097=""),"",$C1096+N($E1095))</f>
      </c>
      <c r="F1096" s="13">
        <f>IF(NOT(ISNUMBER($E1096)),"",IF($E1096-$C1096&lt;0.8,"A",IF($E1096-$C1096&lt;0.95,"B","C")))</f>
      </c>
    </row>
    <row r="1097">
      <c r="E1097" s="12">
        <f>IF(OR(NOT(ISNUMBER($C1097)),$A1098=""),"",$C1097+N($E1096))</f>
      </c>
      <c r="F1097" s="13">
        <f>IF(NOT(ISNUMBER($E1097)),"",IF($E1097-$C1097&lt;0.8,"A",IF($E1097-$C1097&lt;0.95,"B","C")))</f>
      </c>
    </row>
    <row r="1098">
      <c r="E1098" s="12">
        <f>IF(OR(NOT(ISNUMBER($C1098)),$A1099=""),"",$C1098+N($E1097))</f>
      </c>
      <c r="F1098" s="13">
        <f>IF(NOT(ISNUMBER($E1098)),"",IF($E1098-$C1098&lt;0.8,"A",IF($E1098-$C1098&lt;0.95,"B","C")))</f>
      </c>
    </row>
    <row r="1099">
      <c r="E1099" s="12">
        <f>IF(OR(NOT(ISNUMBER($C1099)),$A1100=""),"",$C1099+N($E1098))</f>
      </c>
      <c r="F1099" s="13">
        <f>IF(NOT(ISNUMBER($E1099)),"",IF($E1099-$C1099&lt;0.8,"A",IF($E1099-$C1099&lt;0.95,"B","C")))</f>
      </c>
    </row>
    <row r="1100">
      <c r="E1100" s="12">
        <f>IF(OR(NOT(ISNUMBER($C1100)),$A1101=""),"",$C1100+N($E1099))</f>
      </c>
      <c r="F1100" s="13">
        <f>IF(NOT(ISNUMBER($E1100)),"",IF($E1100-$C1100&lt;0.8,"A",IF($E1100-$C1100&lt;0.95,"B","C")))</f>
      </c>
    </row>
    <row r="1101">
      <c r="E1101" s="12">
        <f>IF(OR(NOT(ISNUMBER($C1101)),$A1102=""),"",$C1101+N($E1100))</f>
      </c>
      <c r="F1101" s="13">
        <f>IF(NOT(ISNUMBER($E1101)),"",IF($E1101-$C1101&lt;0.8,"A",IF($E1101-$C1101&lt;0.95,"B","C")))</f>
      </c>
    </row>
    <row r="1102">
      <c r="E1102" s="12">
        <f>IF(OR(NOT(ISNUMBER($C1102)),$A1103=""),"",$C1102+N($E1101))</f>
      </c>
      <c r="F1102" s="13">
        <f>IF(NOT(ISNUMBER($E1102)),"",IF($E1102-$C1102&lt;0.8,"A",IF($E1102-$C1102&lt;0.95,"B","C")))</f>
      </c>
    </row>
    <row r="1103">
      <c r="E1103" s="12">
        <f>IF(OR(NOT(ISNUMBER($C1103)),$A1104=""),"",$C1103+N($E1102))</f>
      </c>
      <c r="F1103" s="13">
        <f>IF(NOT(ISNUMBER($E1103)),"",IF($E1103-$C1103&lt;0.8,"A",IF($E1103-$C1103&lt;0.95,"B","C")))</f>
      </c>
    </row>
    <row r="1104">
      <c r="E1104" s="12">
        <f>IF(OR(NOT(ISNUMBER($C1104)),$A1105=""),"",$C1104+N($E1103))</f>
      </c>
      <c r="F1104" s="13">
        <f>IF(NOT(ISNUMBER($E1104)),"",IF($E1104-$C1104&lt;0.8,"A",IF($E1104-$C1104&lt;0.95,"B","C")))</f>
      </c>
    </row>
    <row r="1105">
      <c r="E1105" s="12">
        <f>IF(OR(NOT(ISNUMBER($C1105)),$A1106=""),"",$C1105+N($E1104))</f>
      </c>
      <c r="F1105" s="13">
        <f>IF(NOT(ISNUMBER($E1105)),"",IF($E1105-$C1105&lt;0.8,"A",IF($E1105-$C1105&lt;0.95,"B","C")))</f>
      </c>
    </row>
    <row r="1106">
      <c r="E1106" s="12">
        <f>IF(OR(NOT(ISNUMBER($C1106)),$A1107=""),"",$C1106+N($E1105))</f>
      </c>
      <c r="F1106" s="13">
        <f>IF(NOT(ISNUMBER($E1106)),"",IF($E1106-$C1106&lt;0.8,"A",IF($E1106-$C1106&lt;0.95,"B","C")))</f>
      </c>
    </row>
    <row r="1107">
      <c r="E1107" s="12">
        <f>IF(OR(NOT(ISNUMBER($C1107)),$A1108=""),"",$C1107+N($E1106))</f>
      </c>
      <c r="F1107" s="13">
        <f>IF(NOT(ISNUMBER($E1107)),"",IF($E1107-$C1107&lt;0.8,"A",IF($E1107-$C1107&lt;0.95,"B","C")))</f>
      </c>
    </row>
    <row r="1108">
      <c r="E1108" s="12">
        <f>IF(OR(NOT(ISNUMBER($C1108)),$A1109=""),"",$C1108+N($E1107))</f>
      </c>
      <c r="F1108" s="13">
        <f>IF(NOT(ISNUMBER($E1108)),"",IF($E1108-$C1108&lt;0.8,"A",IF($E1108-$C1108&lt;0.95,"B","C")))</f>
      </c>
    </row>
    <row r="1109">
      <c r="E1109" s="12">
        <f>IF(OR(NOT(ISNUMBER($C1109)),$A1110=""),"",$C1109+N($E1108))</f>
      </c>
      <c r="F1109" s="13">
        <f>IF(NOT(ISNUMBER($E1109)),"",IF($E1109-$C1109&lt;0.8,"A",IF($E1109-$C1109&lt;0.95,"B","C")))</f>
      </c>
    </row>
    <row r="1110">
      <c r="E1110" s="12">
        <f>IF(OR(NOT(ISNUMBER($C1110)),$A1111=""),"",$C1110+N($E1109))</f>
      </c>
      <c r="F1110" s="13">
        <f>IF(NOT(ISNUMBER($E1110)),"",IF($E1110-$C1110&lt;0.8,"A",IF($E1110-$C1110&lt;0.95,"B","C")))</f>
      </c>
    </row>
    <row r="1111">
      <c r="E1111" s="12">
        <f>IF(OR(NOT(ISNUMBER($C1111)),$A1112=""),"",$C1111+N($E1110))</f>
      </c>
      <c r="F1111" s="13">
        <f>IF(NOT(ISNUMBER($E1111)),"",IF($E1111-$C1111&lt;0.8,"A",IF($E1111-$C1111&lt;0.95,"B","C")))</f>
      </c>
    </row>
    <row r="1112">
      <c r="E1112" s="12">
        <f>IF(OR(NOT(ISNUMBER($C1112)),$A1113=""),"",$C1112+N($E1111))</f>
      </c>
      <c r="F1112" s="13">
        <f>IF(NOT(ISNUMBER($E1112)),"",IF($E1112-$C1112&lt;0.8,"A",IF($E1112-$C1112&lt;0.95,"B","C")))</f>
      </c>
    </row>
    <row r="1113">
      <c r="E1113" s="12">
        <f>IF(OR(NOT(ISNUMBER($C1113)),$A1114=""),"",$C1113+N($E1112))</f>
      </c>
      <c r="F1113" s="13">
        <f>IF(NOT(ISNUMBER($E1113)),"",IF($E1113-$C1113&lt;0.8,"A",IF($E1113-$C1113&lt;0.95,"B","C")))</f>
      </c>
    </row>
    <row r="1114">
      <c r="E1114" s="12">
        <f>IF(OR(NOT(ISNUMBER($C1114)),$A1115=""),"",$C1114+N($E1113))</f>
      </c>
      <c r="F1114" s="13">
        <f>IF(NOT(ISNUMBER($E1114)),"",IF($E1114-$C1114&lt;0.8,"A",IF($E1114-$C1114&lt;0.95,"B","C")))</f>
      </c>
    </row>
    <row r="1115">
      <c r="E1115" s="12">
        <f>IF(OR(NOT(ISNUMBER($C1115)),$A1116=""),"",$C1115+N($E1114))</f>
      </c>
      <c r="F1115" s="13">
        <f>IF(NOT(ISNUMBER($E1115)),"",IF($E1115-$C1115&lt;0.8,"A",IF($E1115-$C1115&lt;0.95,"B","C")))</f>
      </c>
    </row>
    <row r="1116">
      <c r="E1116" s="12">
        <f>IF(OR(NOT(ISNUMBER($C1116)),$A1117=""),"",$C1116+N($E1115))</f>
      </c>
      <c r="F1116" s="13">
        <f>IF(NOT(ISNUMBER($E1116)),"",IF($E1116-$C1116&lt;0.8,"A",IF($E1116-$C1116&lt;0.95,"B","C")))</f>
      </c>
    </row>
    <row r="1117">
      <c r="E1117" s="12">
        <f>IF(OR(NOT(ISNUMBER($C1117)),$A1118=""),"",$C1117+N($E1116))</f>
      </c>
      <c r="F1117" s="13">
        <f>IF(NOT(ISNUMBER($E1117)),"",IF($E1117-$C1117&lt;0.8,"A",IF($E1117-$C1117&lt;0.95,"B","C")))</f>
      </c>
    </row>
    <row r="1118">
      <c r="E1118" s="12">
        <f>IF(OR(NOT(ISNUMBER($C1118)),$A1119=""),"",$C1118+N($E1117))</f>
      </c>
      <c r="F1118" s="13">
        <f>IF(NOT(ISNUMBER($E1118)),"",IF($E1118-$C1118&lt;0.8,"A",IF($E1118-$C1118&lt;0.95,"B","C")))</f>
      </c>
    </row>
    <row r="1119">
      <c r="E1119" s="12">
        <f>IF(OR(NOT(ISNUMBER($C1119)),$A1120=""),"",$C1119+N($E1118))</f>
      </c>
      <c r="F1119" s="13">
        <f>IF(NOT(ISNUMBER($E1119)),"",IF($E1119-$C1119&lt;0.8,"A",IF($E1119-$C1119&lt;0.95,"B","C")))</f>
      </c>
    </row>
    <row r="1120">
      <c r="E1120" s="12">
        <f>IF(OR(NOT(ISNUMBER($C1120)),$A1121=""),"",$C1120+N($E1119))</f>
      </c>
      <c r="F1120" s="13">
        <f>IF(NOT(ISNUMBER($E1120)),"",IF($E1120-$C1120&lt;0.8,"A",IF($E1120-$C1120&lt;0.95,"B","C")))</f>
      </c>
    </row>
    <row r="1121">
      <c r="E1121" s="12">
        <f>IF(OR(NOT(ISNUMBER($C1121)),$A1122=""),"",$C1121+N($E1120))</f>
      </c>
      <c r="F1121" s="13">
        <f>IF(NOT(ISNUMBER($E1121)),"",IF($E1121-$C1121&lt;0.8,"A",IF($E1121-$C1121&lt;0.95,"B","C")))</f>
      </c>
    </row>
    <row r="1122">
      <c r="E1122" s="12">
        <f>IF(OR(NOT(ISNUMBER($C1122)),$A1123=""),"",$C1122+N($E1121))</f>
      </c>
      <c r="F1122" s="13">
        <f>IF(NOT(ISNUMBER($E1122)),"",IF($E1122-$C1122&lt;0.8,"A",IF($E1122-$C1122&lt;0.95,"B","C")))</f>
      </c>
    </row>
    <row r="1123">
      <c r="E1123" s="12">
        <f>IF(OR(NOT(ISNUMBER($C1123)),$A1124=""),"",$C1123+N($E1122))</f>
      </c>
      <c r="F1123" s="13">
        <f>IF(NOT(ISNUMBER($E1123)),"",IF($E1123-$C1123&lt;0.8,"A",IF($E1123-$C1123&lt;0.95,"B","C")))</f>
      </c>
    </row>
    <row r="1124">
      <c r="E1124" s="12">
        <f>IF(OR(NOT(ISNUMBER($C1124)),$A1125=""),"",$C1124+N($E1123))</f>
      </c>
      <c r="F1124" s="13">
        <f>IF(NOT(ISNUMBER($E1124)),"",IF($E1124-$C1124&lt;0.8,"A",IF($E1124-$C1124&lt;0.95,"B","C")))</f>
      </c>
    </row>
    <row r="1125">
      <c r="E1125" s="12">
        <f>IF(OR(NOT(ISNUMBER($C1125)),$A1126=""),"",$C1125+N($E1124))</f>
      </c>
      <c r="F1125" s="13">
        <f>IF(NOT(ISNUMBER($E1125)),"",IF($E1125-$C1125&lt;0.8,"A",IF($E1125-$C1125&lt;0.95,"B","C")))</f>
      </c>
    </row>
    <row r="1126">
      <c r="E1126" s="12">
        <f>IF(OR(NOT(ISNUMBER($C1126)),$A1127=""),"",$C1126+N($E1125))</f>
      </c>
      <c r="F1126" s="13">
        <f>IF(NOT(ISNUMBER($E1126)),"",IF($E1126-$C1126&lt;0.8,"A",IF($E1126-$C1126&lt;0.95,"B","C")))</f>
      </c>
    </row>
    <row r="1127">
      <c r="E1127" s="12">
        <f>IF(OR(NOT(ISNUMBER($C1127)),$A1128=""),"",$C1127+N($E1126))</f>
      </c>
      <c r="F1127" s="13">
        <f>IF(NOT(ISNUMBER($E1127)),"",IF($E1127-$C1127&lt;0.8,"A",IF($E1127-$C1127&lt;0.95,"B","C")))</f>
      </c>
    </row>
    <row r="1128">
      <c r="E1128" s="12">
        <f>IF(OR(NOT(ISNUMBER($C1128)),$A1129=""),"",$C1128+N($E1127))</f>
      </c>
      <c r="F1128" s="13">
        <f>IF(NOT(ISNUMBER($E1128)),"",IF($E1128-$C1128&lt;0.8,"A",IF($E1128-$C1128&lt;0.95,"B","C")))</f>
      </c>
    </row>
    <row r="1129">
      <c r="E1129" s="12">
        <f>IF(OR(NOT(ISNUMBER($C1129)),$A1130=""),"",$C1129+N($E1128))</f>
      </c>
      <c r="F1129" s="13">
        <f>IF(NOT(ISNUMBER($E1129)),"",IF($E1129-$C1129&lt;0.8,"A",IF($E1129-$C1129&lt;0.95,"B","C")))</f>
      </c>
    </row>
    <row r="1130">
      <c r="E1130" s="12">
        <f>IF(OR(NOT(ISNUMBER($C1130)),$A1131=""),"",$C1130+N($E1129))</f>
      </c>
      <c r="F1130" s="13">
        <f>IF(NOT(ISNUMBER($E1130)),"",IF($E1130-$C1130&lt;0.8,"A",IF($E1130-$C1130&lt;0.95,"B","C")))</f>
      </c>
    </row>
    <row r="1131">
      <c r="E1131" s="12">
        <f>IF(OR(NOT(ISNUMBER($C1131)),$A1132=""),"",$C1131+N($E1130))</f>
      </c>
      <c r="F1131" s="13">
        <f>IF(NOT(ISNUMBER($E1131)),"",IF($E1131-$C1131&lt;0.8,"A",IF($E1131-$C1131&lt;0.95,"B","C")))</f>
      </c>
    </row>
    <row r="1132">
      <c r="E1132" s="12">
        <f>IF(OR(NOT(ISNUMBER($C1132)),$A1133=""),"",$C1132+N($E1131))</f>
      </c>
      <c r="F1132" s="13">
        <f>IF(NOT(ISNUMBER($E1132)),"",IF($E1132-$C1132&lt;0.8,"A",IF($E1132-$C1132&lt;0.95,"B","C")))</f>
      </c>
    </row>
    <row r="1133">
      <c r="E1133" s="12">
        <f>IF(OR(NOT(ISNUMBER($C1133)),$A1134=""),"",$C1133+N($E1132))</f>
      </c>
      <c r="F1133" s="13">
        <f>IF(NOT(ISNUMBER($E1133)),"",IF($E1133-$C1133&lt;0.8,"A",IF($E1133-$C1133&lt;0.95,"B","C")))</f>
      </c>
    </row>
    <row r="1134">
      <c r="E1134" s="12">
        <f>IF(OR(NOT(ISNUMBER($C1134)),$A1135=""),"",$C1134+N($E1133))</f>
      </c>
      <c r="F1134" s="13">
        <f>IF(NOT(ISNUMBER($E1134)),"",IF($E1134-$C1134&lt;0.8,"A",IF($E1134-$C1134&lt;0.95,"B","C")))</f>
      </c>
    </row>
    <row r="1135">
      <c r="E1135" s="12">
        <f>IF(OR(NOT(ISNUMBER($C1135)),$A1136=""),"",$C1135+N($E1134))</f>
      </c>
      <c r="F1135" s="13">
        <f>IF(NOT(ISNUMBER($E1135)),"",IF($E1135-$C1135&lt;0.8,"A",IF($E1135-$C1135&lt;0.95,"B","C")))</f>
      </c>
    </row>
    <row r="1136">
      <c r="E1136" s="12">
        <f>IF(OR(NOT(ISNUMBER($C1136)),$A1137=""),"",$C1136+N($E1135))</f>
      </c>
      <c r="F1136" s="13">
        <f>IF(NOT(ISNUMBER($E1136)),"",IF($E1136-$C1136&lt;0.8,"A",IF($E1136-$C1136&lt;0.95,"B","C")))</f>
      </c>
    </row>
    <row r="1137">
      <c r="E1137" s="12">
        <f>IF(OR(NOT(ISNUMBER($C1137)),$A1138=""),"",$C1137+N($E1136))</f>
      </c>
      <c r="F1137" s="13">
        <f>IF(NOT(ISNUMBER($E1137)),"",IF($E1137-$C1137&lt;0.8,"A",IF($E1137-$C1137&lt;0.95,"B","C")))</f>
      </c>
    </row>
    <row r="1138">
      <c r="E1138" s="12">
        <f>IF(OR(NOT(ISNUMBER($C1138)),$A1139=""),"",$C1138+N($E1137))</f>
      </c>
      <c r="F1138" s="13">
        <f>IF(NOT(ISNUMBER($E1138)),"",IF($E1138-$C1138&lt;0.8,"A",IF($E1138-$C1138&lt;0.95,"B","C")))</f>
      </c>
    </row>
    <row r="1139">
      <c r="E1139" s="12">
        <f>IF(OR(NOT(ISNUMBER($C1139)),$A1140=""),"",$C1139+N($E1138))</f>
      </c>
      <c r="F1139" s="13">
        <f>IF(NOT(ISNUMBER($E1139)),"",IF($E1139-$C1139&lt;0.8,"A",IF($E1139-$C1139&lt;0.95,"B","C")))</f>
      </c>
    </row>
    <row r="1140">
      <c r="E1140" s="12">
        <f>IF(OR(NOT(ISNUMBER($C1140)),$A1141=""),"",$C1140+N($E1139))</f>
      </c>
      <c r="F1140" s="13">
        <f>IF(NOT(ISNUMBER($E1140)),"",IF($E1140-$C1140&lt;0.8,"A",IF($E1140-$C1140&lt;0.95,"B","C")))</f>
      </c>
    </row>
    <row r="1141">
      <c r="E1141" s="12">
        <f>IF(OR(NOT(ISNUMBER($C1141)),$A1142=""),"",$C1141+N($E1140))</f>
      </c>
      <c r="F1141" s="13">
        <f>IF(NOT(ISNUMBER($E1141)),"",IF($E1141-$C1141&lt;0.8,"A",IF($E1141-$C1141&lt;0.95,"B","C")))</f>
      </c>
    </row>
    <row r="1142">
      <c r="E1142" s="12">
        <f>IF(OR(NOT(ISNUMBER($C1142)),$A1143=""),"",$C1142+N($E1141))</f>
      </c>
      <c r="F1142" s="13">
        <f>IF(NOT(ISNUMBER($E1142)),"",IF($E1142-$C1142&lt;0.8,"A",IF($E1142-$C1142&lt;0.95,"B","C")))</f>
      </c>
    </row>
    <row r="1143">
      <c r="E1143" s="12">
        <f>IF(OR(NOT(ISNUMBER($C1143)),$A1144=""),"",$C1143+N($E1142))</f>
      </c>
      <c r="F1143" s="13">
        <f>IF(NOT(ISNUMBER($E1143)),"",IF($E1143-$C1143&lt;0.8,"A",IF($E1143-$C1143&lt;0.95,"B","C")))</f>
      </c>
    </row>
    <row r="1144">
      <c r="E1144" s="12">
        <f>IF(OR(NOT(ISNUMBER($C1144)),$A1145=""),"",$C1144+N($E1143))</f>
      </c>
      <c r="F1144" s="13">
        <f>IF(NOT(ISNUMBER($E1144)),"",IF($E1144-$C1144&lt;0.8,"A",IF($E1144-$C1144&lt;0.95,"B","C")))</f>
      </c>
    </row>
    <row r="1145">
      <c r="E1145" s="12">
        <f>IF(OR(NOT(ISNUMBER($C1145)),$A1146=""),"",$C1145+N($E1144))</f>
      </c>
      <c r="F1145" s="13">
        <f>IF(NOT(ISNUMBER($E1145)),"",IF($E1145-$C1145&lt;0.8,"A",IF($E1145-$C1145&lt;0.95,"B","C")))</f>
      </c>
    </row>
    <row r="1146">
      <c r="E1146" s="12">
        <f>IF(OR(NOT(ISNUMBER($C1146)),$A1147=""),"",$C1146+N($E1145))</f>
      </c>
      <c r="F1146" s="13">
        <f>IF(NOT(ISNUMBER($E1146)),"",IF($E1146-$C1146&lt;0.8,"A",IF($E1146-$C1146&lt;0.95,"B","C")))</f>
      </c>
    </row>
    <row r="1147">
      <c r="E1147" s="12">
        <f>IF(OR(NOT(ISNUMBER($C1147)),$A1148=""),"",$C1147+N($E1146))</f>
      </c>
      <c r="F1147" s="13">
        <f>IF(NOT(ISNUMBER($E1147)),"",IF($E1147-$C1147&lt;0.8,"A",IF($E1147-$C1147&lt;0.95,"B","C")))</f>
      </c>
    </row>
    <row r="1148">
      <c r="E1148" s="12">
        <f>IF(OR(NOT(ISNUMBER($C1148)),$A1149=""),"",$C1148+N($E1147))</f>
      </c>
      <c r="F1148" s="13">
        <f>IF(NOT(ISNUMBER($E1148)),"",IF($E1148-$C1148&lt;0.8,"A",IF($E1148-$C1148&lt;0.95,"B","C")))</f>
      </c>
    </row>
    <row r="1149">
      <c r="E1149" s="12">
        <f>IF(OR(NOT(ISNUMBER($C1149)),$A1150=""),"",$C1149+N($E1148))</f>
      </c>
      <c r="F1149" s="13">
        <f>IF(NOT(ISNUMBER($E1149)),"",IF($E1149-$C1149&lt;0.8,"A",IF($E1149-$C1149&lt;0.95,"B","C")))</f>
      </c>
    </row>
    <row r="1150">
      <c r="E1150" s="12">
        <f>IF(OR(NOT(ISNUMBER($C1150)),$A1151=""),"",$C1150+N($E1149))</f>
      </c>
      <c r="F1150" s="13">
        <f>IF(NOT(ISNUMBER($E1150)),"",IF($E1150-$C1150&lt;0.8,"A",IF($E1150-$C1150&lt;0.95,"B","C")))</f>
      </c>
    </row>
    <row r="1151">
      <c r="E1151" s="12">
        <f>IF(OR(NOT(ISNUMBER($C1151)),$A1152=""),"",$C1151+N($E1150))</f>
      </c>
      <c r="F1151" s="13">
        <f>IF(NOT(ISNUMBER($E1151)),"",IF($E1151-$C1151&lt;0.8,"A",IF($E1151-$C1151&lt;0.95,"B","C")))</f>
      </c>
    </row>
    <row r="1152">
      <c r="E1152" s="12">
        <f>IF(OR(NOT(ISNUMBER($C1152)),$A1153=""),"",$C1152+N($E1151))</f>
      </c>
      <c r="F1152" s="13">
        <f>IF(NOT(ISNUMBER($E1152)),"",IF($E1152-$C1152&lt;0.8,"A",IF($E1152-$C1152&lt;0.95,"B","C")))</f>
      </c>
    </row>
    <row r="1153">
      <c r="E1153" s="12">
        <f>IF(OR(NOT(ISNUMBER($C1153)),$A1154=""),"",$C1153+N($E1152))</f>
      </c>
      <c r="F1153" s="13">
        <f>IF(NOT(ISNUMBER($E1153)),"",IF($E1153-$C1153&lt;0.8,"A",IF($E1153-$C1153&lt;0.95,"B","C")))</f>
      </c>
    </row>
    <row r="1154">
      <c r="E1154" s="12">
        <f>IF(OR(NOT(ISNUMBER($C1154)),$A1155=""),"",$C1154+N($E1153))</f>
      </c>
      <c r="F1154" s="13">
        <f>IF(NOT(ISNUMBER($E1154)),"",IF($E1154-$C1154&lt;0.8,"A",IF($E1154-$C1154&lt;0.95,"B","C")))</f>
      </c>
    </row>
    <row r="1155">
      <c r="E1155" s="12">
        <f>IF(OR(NOT(ISNUMBER($C1155)),$A1156=""),"",$C1155+N($E1154))</f>
      </c>
      <c r="F1155" s="13">
        <f>IF(NOT(ISNUMBER($E1155)),"",IF($E1155-$C1155&lt;0.8,"A",IF($E1155-$C1155&lt;0.95,"B","C")))</f>
      </c>
    </row>
    <row r="1156">
      <c r="E1156" s="12">
        <f>IF(OR(NOT(ISNUMBER($C1156)),$A1157=""),"",$C1156+N($E1155))</f>
      </c>
      <c r="F1156" s="13">
        <f>IF(NOT(ISNUMBER($E1156)),"",IF($E1156-$C1156&lt;0.8,"A",IF($E1156-$C1156&lt;0.95,"B","C")))</f>
      </c>
    </row>
    <row r="1157">
      <c r="E1157" s="12">
        <f>IF(OR(NOT(ISNUMBER($C1157)),$A1158=""),"",$C1157+N($E1156))</f>
      </c>
      <c r="F1157" s="13">
        <f>IF(NOT(ISNUMBER($E1157)),"",IF($E1157-$C1157&lt;0.8,"A",IF($E1157-$C1157&lt;0.95,"B","C")))</f>
      </c>
    </row>
    <row r="1158">
      <c r="E1158" s="12">
        <f>IF(OR(NOT(ISNUMBER($C1158)),$A1159=""),"",$C1158+N($E1157))</f>
      </c>
      <c r="F1158" s="13">
        <f>IF(NOT(ISNUMBER($E1158)),"",IF($E1158-$C1158&lt;0.8,"A",IF($E1158-$C1158&lt;0.95,"B","C")))</f>
      </c>
    </row>
    <row r="1159">
      <c r="E1159" s="12">
        <f>IF(OR(NOT(ISNUMBER($C1159)),$A1160=""),"",$C1159+N($E1158))</f>
      </c>
      <c r="F1159" s="13">
        <f>IF(NOT(ISNUMBER($E1159)),"",IF($E1159-$C1159&lt;0.8,"A",IF($E1159-$C1159&lt;0.95,"B","C")))</f>
      </c>
    </row>
    <row r="1160">
      <c r="E1160" s="12">
        <f>IF(OR(NOT(ISNUMBER($C1160)),$A1161=""),"",$C1160+N($E1159))</f>
      </c>
      <c r="F1160" s="13">
        <f>IF(NOT(ISNUMBER($E1160)),"",IF($E1160-$C1160&lt;0.8,"A",IF($E1160-$C1160&lt;0.95,"B","C")))</f>
      </c>
    </row>
    <row r="1161">
      <c r="E1161" s="12">
        <f>IF(OR(NOT(ISNUMBER($C1161)),$A1162=""),"",$C1161+N($E1160))</f>
      </c>
      <c r="F1161" s="13">
        <f>IF(NOT(ISNUMBER($E1161)),"",IF($E1161-$C1161&lt;0.8,"A",IF($E1161-$C1161&lt;0.95,"B","C")))</f>
      </c>
    </row>
    <row r="1162">
      <c r="E1162" s="12">
        <f>IF(OR(NOT(ISNUMBER($C1162)),$A1163=""),"",$C1162+N($E1161))</f>
      </c>
      <c r="F1162" s="13">
        <f>IF(NOT(ISNUMBER($E1162)),"",IF($E1162-$C1162&lt;0.8,"A",IF($E1162-$C1162&lt;0.95,"B","C")))</f>
      </c>
    </row>
    <row r="1163">
      <c r="E1163" s="12">
        <f>IF(OR(NOT(ISNUMBER($C1163)),$A1164=""),"",$C1163+N($E1162))</f>
      </c>
      <c r="F1163" s="13">
        <f>IF(NOT(ISNUMBER($E1163)),"",IF($E1163-$C1163&lt;0.8,"A",IF($E1163-$C1163&lt;0.95,"B","C")))</f>
      </c>
    </row>
    <row r="1164">
      <c r="E1164" s="12">
        <f>IF(OR(NOT(ISNUMBER($C1164)),$A1165=""),"",$C1164+N($E1163))</f>
      </c>
      <c r="F1164" s="13">
        <f>IF(NOT(ISNUMBER($E1164)),"",IF($E1164-$C1164&lt;0.8,"A",IF($E1164-$C1164&lt;0.95,"B","C")))</f>
      </c>
    </row>
    <row r="1165">
      <c r="E1165" s="12">
        <f>IF(OR(NOT(ISNUMBER($C1165)),$A1166=""),"",$C1165+N($E1164))</f>
      </c>
      <c r="F1165" s="13">
        <f>IF(NOT(ISNUMBER($E1165)),"",IF($E1165-$C1165&lt;0.8,"A",IF($E1165-$C1165&lt;0.95,"B","C")))</f>
      </c>
    </row>
    <row r="1166">
      <c r="E1166" s="12">
        <f>IF(OR(NOT(ISNUMBER($C1166)),$A1167=""),"",$C1166+N($E1165))</f>
      </c>
      <c r="F1166" s="13">
        <f>IF(NOT(ISNUMBER($E1166)),"",IF($E1166-$C1166&lt;0.8,"A",IF($E1166-$C1166&lt;0.95,"B","C")))</f>
      </c>
    </row>
    <row r="1167">
      <c r="E1167" s="12">
        <f>IF(OR(NOT(ISNUMBER($C1167)),$A1168=""),"",$C1167+N($E1166))</f>
      </c>
      <c r="F1167" s="13">
        <f>IF(NOT(ISNUMBER($E1167)),"",IF($E1167-$C1167&lt;0.8,"A",IF($E1167-$C1167&lt;0.95,"B","C")))</f>
      </c>
    </row>
    <row r="1168">
      <c r="E1168" s="12">
        <f>IF(OR(NOT(ISNUMBER($C1168)),$A1169=""),"",$C1168+N($E1167))</f>
      </c>
      <c r="F1168" s="13">
        <f>IF(NOT(ISNUMBER($E1168)),"",IF($E1168-$C1168&lt;0.8,"A",IF($E1168-$C1168&lt;0.95,"B","C")))</f>
      </c>
    </row>
    <row r="1169">
      <c r="E1169" s="12">
        <f>IF(OR(NOT(ISNUMBER($C1169)),$A1170=""),"",$C1169+N($E1168))</f>
      </c>
      <c r="F1169" s="13">
        <f>IF(NOT(ISNUMBER($E1169)),"",IF($E1169-$C1169&lt;0.8,"A",IF($E1169-$C1169&lt;0.95,"B","C")))</f>
      </c>
    </row>
    <row r="1170">
      <c r="E1170" s="12">
        <f>IF(OR(NOT(ISNUMBER($C1170)),$A1171=""),"",$C1170+N($E1169))</f>
      </c>
      <c r="F1170" s="13">
        <f>IF(NOT(ISNUMBER($E1170)),"",IF($E1170-$C1170&lt;0.8,"A",IF($E1170-$C1170&lt;0.95,"B","C")))</f>
      </c>
    </row>
    <row r="1171">
      <c r="E1171" s="12">
        <f>IF(OR(NOT(ISNUMBER($C1171)),$A1172=""),"",$C1171+N($E1170))</f>
      </c>
      <c r="F1171" s="13">
        <f>IF(NOT(ISNUMBER($E1171)),"",IF($E1171-$C1171&lt;0.8,"A",IF($E1171-$C1171&lt;0.95,"B","C")))</f>
      </c>
    </row>
    <row r="1172">
      <c r="E1172" s="12">
        <f>IF(OR(NOT(ISNUMBER($C1172)),$A1173=""),"",$C1172+N($E1171))</f>
      </c>
      <c r="F1172" s="13">
        <f>IF(NOT(ISNUMBER($E1172)),"",IF($E1172-$C1172&lt;0.8,"A",IF($E1172-$C1172&lt;0.95,"B","C")))</f>
      </c>
    </row>
    <row r="1173">
      <c r="E1173" s="12">
        <f>IF(OR(NOT(ISNUMBER($C1173)),$A1174=""),"",$C1173+N($E1172))</f>
      </c>
      <c r="F1173" s="13">
        <f>IF(NOT(ISNUMBER($E1173)),"",IF($E1173-$C1173&lt;0.8,"A",IF($E1173-$C1173&lt;0.95,"B","C")))</f>
      </c>
    </row>
    <row r="1174">
      <c r="E1174" s="12">
        <f>IF(OR(NOT(ISNUMBER($C1174)),$A1175=""),"",$C1174+N($E1173))</f>
      </c>
      <c r="F1174" s="13">
        <f>IF(NOT(ISNUMBER($E1174)),"",IF($E1174-$C1174&lt;0.8,"A",IF($E1174-$C1174&lt;0.95,"B","C")))</f>
      </c>
    </row>
    <row r="1175">
      <c r="E1175" s="12">
        <f>IF(OR(NOT(ISNUMBER($C1175)),$A1176=""),"",$C1175+N($E1174))</f>
      </c>
      <c r="F1175" s="13">
        <f>IF(NOT(ISNUMBER($E1175)),"",IF($E1175-$C1175&lt;0.8,"A",IF($E1175-$C1175&lt;0.95,"B","C")))</f>
      </c>
    </row>
    <row r="1176">
      <c r="E1176" s="12">
        <f>IF(OR(NOT(ISNUMBER($C1176)),$A1177=""),"",$C1176+N($E1175))</f>
      </c>
      <c r="F1176" s="13">
        <f>IF(NOT(ISNUMBER($E1176)),"",IF($E1176-$C1176&lt;0.8,"A",IF($E1176-$C1176&lt;0.95,"B","C")))</f>
      </c>
    </row>
    <row r="1177">
      <c r="E1177" s="12">
        <f>IF(OR(NOT(ISNUMBER($C1177)),$A1178=""),"",$C1177+N($E1176))</f>
      </c>
      <c r="F1177" s="13">
        <f>IF(NOT(ISNUMBER($E1177)),"",IF($E1177-$C1177&lt;0.8,"A",IF($E1177-$C1177&lt;0.95,"B","C")))</f>
      </c>
    </row>
    <row r="1178">
      <c r="E1178" s="12">
        <f>IF(OR(NOT(ISNUMBER($C1178)),$A1179=""),"",$C1178+N($E1177))</f>
      </c>
      <c r="F1178" s="13">
        <f>IF(NOT(ISNUMBER($E1178)),"",IF($E1178-$C1178&lt;0.8,"A",IF($E1178-$C1178&lt;0.95,"B","C")))</f>
      </c>
    </row>
    <row r="1179">
      <c r="E1179" s="12">
        <f>IF(OR(NOT(ISNUMBER($C1179)),$A1180=""),"",$C1179+N($E1178))</f>
      </c>
      <c r="F1179" s="13">
        <f>IF(NOT(ISNUMBER($E1179)),"",IF($E1179-$C1179&lt;0.8,"A",IF($E1179-$C1179&lt;0.95,"B","C")))</f>
      </c>
    </row>
    <row r="1180">
      <c r="E1180" s="12">
        <f>IF(OR(NOT(ISNUMBER($C1180)),$A1181=""),"",$C1180+N($E1179))</f>
      </c>
      <c r="F1180" s="13">
        <f>IF(NOT(ISNUMBER($E1180)),"",IF($E1180-$C1180&lt;0.8,"A",IF($E1180-$C1180&lt;0.95,"B","C")))</f>
      </c>
    </row>
    <row r="1181">
      <c r="E1181" s="12">
        <f>IF(OR(NOT(ISNUMBER($C1181)),$A1182=""),"",$C1181+N($E1180))</f>
      </c>
      <c r="F1181" s="13">
        <f>IF(NOT(ISNUMBER($E1181)),"",IF($E1181-$C1181&lt;0.8,"A",IF($E1181-$C1181&lt;0.95,"B","C")))</f>
      </c>
    </row>
    <row r="1182">
      <c r="E1182" s="12">
        <f>IF(OR(NOT(ISNUMBER($C1182)),$A1183=""),"",$C1182+N($E1181))</f>
      </c>
      <c r="F1182" s="13">
        <f>IF(NOT(ISNUMBER($E1182)),"",IF($E1182-$C1182&lt;0.8,"A",IF($E1182-$C1182&lt;0.95,"B","C")))</f>
      </c>
    </row>
    <row r="1183">
      <c r="E1183" s="12">
        <f>IF(OR(NOT(ISNUMBER($C1183)),$A1184=""),"",$C1183+N($E1182))</f>
      </c>
      <c r="F1183" s="13">
        <f>IF(NOT(ISNUMBER($E1183)),"",IF($E1183-$C1183&lt;0.8,"A",IF($E1183-$C1183&lt;0.95,"B","C")))</f>
      </c>
    </row>
    <row r="1184">
      <c r="E1184" s="12">
        <f>IF(OR(NOT(ISNUMBER($C1184)),$A1185=""),"",$C1184+N($E1183))</f>
      </c>
      <c r="F1184" s="13">
        <f>IF(NOT(ISNUMBER($E1184)),"",IF($E1184-$C1184&lt;0.8,"A",IF($E1184-$C1184&lt;0.95,"B","C")))</f>
      </c>
    </row>
    <row r="1185">
      <c r="E1185" s="12">
        <f>IF(OR(NOT(ISNUMBER($C1185)),$A1186=""),"",$C1185+N($E1184))</f>
      </c>
      <c r="F1185" s="13">
        <f>IF(NOT(ISNUMBER($E1185)),"",IF($E1185-$C1185&lt;0.8,"A",IF($E1185-$C1185&lt;0.95,"B","C")))</f>
      </c>
    </row>
    <row r="1186">
      <c r="E1186" s="12">
        <f>IF(OR(NOT(ISNUMBER($C1186)),$A1187=""),"",$C1186+N($E1185))</f>
      </c>
      <c r="F1186" s="13">
        <f>IF(NOT(ISNUMBER($E1186)),"",IF($E1186-$C1186&lt;0.8,"A",IF($E1186-$C1186&lt;0.95,"B","C")))</f>
      </c>
    </row>
    <row r="1187">
      <c r="E1187" s="12">
        <f>IF(OR(NOT(ISNUMBER($C1187)),$A1188=""),"",$C1187+N($E1186))</f>
      </c>
      <c r="F1187" s="13">
        <f>IF(NOT(ISNUMBER($E1187)),"",IF($E1187-$C1187&lt;0.8,"A",IF($E1187-$C1187&lt;0.95,"B","C")))</f>
      </c>
    </row>
    <row r="1188">
      <c r="E1188" s="12">
        <f>IF(OR(NOT(ISNUMBER($C1188)),$A1189=""),"",$C1188+N($E1187))</f>
      </c>
      <c r="F1188" s="13">
        <f>IF(NOT(ISNUMBER($E1188)),"",IF($E1188-$C1188&lt;0.8,"A",IF($E1188-$C1188&lt;0.95,"B","C")))</f>
      </c>
    </row>
    <row r="1189">
      <c r="E1189" s="12">
        <f>IF(OR(NOT(ISNUMBER($C1189)),$A1190=""),"",$C1189+N($E1188))</f>
      </c>
      <c r="F1189" s="13">
        <f>IF(NOT(ISNUMBER($E1189)),"",IF($E1189-$C1189&lt;0.8,"A",IF($E1189-$C1189&lt;0.95,"B","C")))</f>
      </c>
    </row>
    <row r="1190">
      <c r="E1190" s="12">
        <f>IF(OR(NOT(ISNUMBER($C1190)),$A1191=""),"",$C1190+N($E1189))</f>
      </c>
      <c r="F1190" s="13">
        <f>IF(NOT(ISNUMBER($E1190)),"",IF($E1190-$C1190&lt;0.8,"A",IF($E1190-$C1190&lt;0.95,"B","C")))</f>
      </c>
    </row>
    <row r="1191">
      <c r="E1191" s="12">
        <f>IF(OR(NOT(ISNUMBER($C1191)),$A1192=""),"",$C1191+N($E1190))</f>
      </c>
      <c r="F1191" s="13">
        <f>IF(NOT(ISNUMBER($E1191)),"",IF($E1191-$C1191&lt;0.8,"A",IF($E1191-$C1191&lt;0.95,"B","C")))</f>
      </c>
    </row>
    <row r="1192">
      <c r="E1192" s="12">
        <f>IF(OR(NOT(ISNUMBER($C1192)),$A1193=""),"",$C1192+N($E1191))</f>
      </c>
      <c r="F1192" s="13">
        <f>IF(NOT(ISNUMBER($E1192)),"",IF($E1192-$C1192&lt;0.8,"A",IF($E1192-$C1192&lt;0.95,"B","C")))</f>
      </c>
    </row>
    <row r="1193">
      <c r="E1193" s="12">
        <f>IF(OR(NOT(ISNUMBER($C1193)),$A1194=""),"",$C1193+N($E1192))</f>
      </c>
      <c r="F1193" s="13">
        <f>IF(NOT(ISNUMBER($E1193)),"",IF($E1193-$C1193&lt;0.8,"A",IF($E1193-$C1193&lt;0.95,"B","C")))</f>
      </c>
    </row>
    <row r="1194">
      <c r="E1194" s="12">
        <f>IF(OR(NOT(ISNUMBER($C1194)),$A1195=""),"",$C1194+N($E1193))</f>
      </c>
      <c r="F1194" s="13">
        <f>IF(NOT(ISNUMBER($E1194)),"",IF($E1194-$C1194&lt;0.8,"A",IF($E1194-$C1194&lt;0.95,"B","C")))</f>
      </c>
    </row>
    <row r="1195">
      <c r="E1195" s="12">
        <f>IF(OR(NOT(ISNUMBER($C1195)),$A1196=""),"",$C1195+N($E1194))</f>
      </c>
      <c r="F1195" s="13">
        <f>IF(NOT(ISNUMBER($E1195)),"",IF($E1195-$C1195&lt;0.8,"A",IF($E1195-$C1195&lt;0.95,"B","C")))</f>
      </c>
    </row>
    <row r="1196">
      <c r="E1196" s="12">
        <f>IF(OR(NOT(ISNUMBER($C1196)),$A1197=""),"",$C1196+N($E1195))</f>
      </c>
      <c r="F1196" s="13">
        <f>IF(NOT(ISNUMBER($E1196)),"",IF($E1196-$C1196&lt;0.8,"A",IF($E1196-$C1196&lt;0.95,"B","C")))</f>
      </c>
    </row>
    <row r="1197">
      <c r="E1197" s="12">
        <f>IF(OR(NOT(ISNUMBER($C1197)),$A1198=""),"",$C1197+N($E1196))</f>
      </c>
      <c r="F1197" s="13">
        <f>IF(NOT(ISNUMBER($E1197)),"",IF($E1197-$C1197&lt;0.8,"A",IF($E1197-$C1197&lt;0.95,"B","C")))</f>
      </c>
    </row>
    <row r="1198">
      <c r="E1198" s="12">
        <f>IF(OR(NOT(ISNUMBER($C1198)),$A1199=""),"",$C1198+N($E1197))</f>
      </c>
      <c r="F1198" s="13">
        <f>IF(NOT(ISNUMBER($E1198)),"",IF($E1198-$C1198&lt;0.8,"A",IF($E1198-$C1198&lt;0.95,"B","C")))</f>
      </c>
    </row>
    <row r="1199">
      <c r="E1199" s="12">
        <f>IF(OR(NOT(ISNUMBER($C1199)),$A1200=""),"",$C1199+N($E1198))</f>
      </c>
      <c r="F1199" s="13">
        <f>IF(NOT(ISNUMBER($E1199)),"",IF($E1199-$C1199&lt;0.8,"A",IF($E1199-$C1199&lt;0.95,"B","C")))</f>
      </c>
    </row>
    <row r="1200">
      <c r="E1200" s="12">
        <f>IF(OR(NOT(ISNUMBER($C1200)),$A1201=""),"",$C1200+N($E1199))</f>
      </c>
      <c r="F1200" s="13">
        <f>IF(NOT(ISNUMBER($E1200)),"",IF($E1200-$C1200&lt;0.8,"A",IF($E1200-$C1200&lt;0.95,"B","C")))</f>
      </c>
    </row>
    <row r="1201">
      <c r="E1201" s="12">
        <f>IF(OR(NOT(ISNUMBER($C1201)),$A1202=""),"",$C1201+N($E1200))</f>
      </c>
      <c r="F1201" s="13">
        <f>IF(NOT(ISNUMBER($E1201)),"",IF($E1201-$C1201&lt;0.8,"A",IF($E1201-$C1201&lt;0.95,"B","C")))</f>
      </c>
    </row>
    <row r="1202">
      <c r="E1202" s="12">
        <f>IF(OR(NOT(ISNUMBER($C1202)),$A1203=""),"",$C1202+N($E1201))</f>
      </c>
      <c r="F1202" s="13">
        <f>IF(NOT(ISNUMBER($E1202)),"",IF($E1202-$C1202&lt;0.8,"A",IF($E1202-$C1202&lt;0.95,"B","C")))</f>
      </c>
    </row>
    <row r="1203">
      <c r="E1203" s="12">
        <f>IF(OR(NOT(ISNUMBER($C1203)),$A1204=""),"",$C1203+N($E1202))</f>
      </c>
      <c r="F1203" s="13">
        <f>IF(NOT(ISNUMBER($E1203)),"",IF($E1203-$C1203&lt;0.8,"A",IF($E1203-$C1203&lt;0.95,"B","C")))</f>
      </c>
    </row>
    <row r="1204">
      <c r="E1204" s="12">
        <f>IF(OR(NOT(ISNUMBER($C1204)),$A1205=""),"",$C1204+N($E1203))</f>
      </c>
      <c r="F1204" s="13">
        <f>IF(NOT(ISNUMBER($E1204)),"",IF($E1204-$C1204&lt;0.8,"A",IF($E1204-$C1204&lt;0.95,"B","C")))</f>
      </c>
    </row>
    <row r="1205">
      <c r="E1205" s="12">
        <f>IF(OR(NOT(ISNUMBER($C1205)),$A1206=""),"",$C1205+N($E1204))</f>
      </c>
      <c r="F1205" s="13">
        <f>IF(NOT(ISNUMBER($E1205)),"",IF($E1205-$C1205&lt;0.8,"A",IF($E1205-$C1205&lt;0.95,"B","C")))</f>
      </c>
    </row>
    <row r="1206">
      <c r="E1206" s="12">
        <f>IF(OR(NOT(ISNUMBER($C1206)),$A1207=""),"",$C1206+N($E1205))</f>
      </c>
      <c r="F1206" s="13">
        <f>IF(NOT(ISNUMBER($E1206)),"",IF($E1206-$C1206&lt;0.8,"A",IF($E1206-$C1206&lt;0.95,"B","C")))</f>
      </c>
    </row>
    <row r="1207">
      <c r="E1207" s="12">
        <f>IF(OR(NOT(ISNUMBER($C1207)),$A1208=""),"",$C1207+N($E1206))</f>
      </c>
      <c r="F1207" s="13">
        <f>IF(NOT(ISNUMBER($E1207)),"",IF($E1207-$C1207&lt;0.8,"A",IF($E1207-$C1207&lt;0.95,"B","C")))</f>
      </c>
    </row>
    <row r="1208">
      <c r="E1208" s="12">
        <f>IF(OR(NOT(ISNUMBER($C1208)),$A1209=""),"",$C1208+N($E1207))</f>
      </c>
      <c r="F1208" s="13">
        <f>IF(NOT(ISNUMBER($E1208)),"",IF($E1208-$C1208&lt;0.8,"A",IF($E1208-$C1208&lt;0.95,"B","C")))</f>
      </c>
    </row>
    <row r="1209">
      <c r="E1209" s="12">
        <f>IF(OR(NOT(ISNUMBER($C1209)),$A1210=""),"",$C1209+N($E1208))</f>
      </c>
      <c r="F1209" s="13">
        <f>IF(NOT(ISNUMBER($E1209)),"",IF($E1209-$C1209&lt;0.8,"A",IF($E1209-$C1209&lt;0.95,"B","C")))</f>
      </c>
    </row>
    <row r="1210">
      <c r="E1210" s="12">
        <f>IF(OR(NOT(ISNUMBER($C1210)),$A1211=""),"",$C1210+N($E1209))</f>
      </c>
      <c r="F1210" s="13">
        <f>IF(NOT(ISNUMBER($E1210)),"",IF($E1210-$C1210&lt;0.8,"A",IF($E1210-$C1210&lt;0.95,"B","C")))</f>
      </c>
    </row>
    <row r="1211">
      <c r="E1211" s="12">
        <f>IF(OR(NOT(ISNUMBER($C1211)),$A1212=""),"",$C1211+N($E1210))</f>
      </c>
      <c r="F1211" s="13">
        <f>IF(NOT(ISNUMBER($E1211)),"",IF($E1211-$C1211&lt;0.8,"A",IF($E1211-$C1211&lt;0.95,"B","C")))</f>
      </c>
    </row>
    <row r="1212">
      <c r="E1212" s="12">
        <f>IF(OR(NOT(ISNUMBER($C1212)),$A1213=""),"",$C1212+N($E1211))</f>
      </c>
      <c r="F1212" s="13">
        <f>IF(NOT(ISNUMBER($E1212)),"",IF($E1212-$C1212&lt;0.8,"A",IF($E1212-$C1212&lt;0.95,"B","C")))</f>
      </c>
    </row>
    <row r="1213">
      <c r="E1213" s="12">
        <f>IF(OR(NOT(ISNUMBER($C1213)),$A1214=""),"",$C1213+N($E1212))</f>
      </c>
      <c r="F1213" s="13">
        <f>IF(NOT(ISNUMBER($E1213)),"",IF($E1213-$C1213&lt;0.8,"A",IF($E1213-$C1213&lt;0.95,"B","C")))</f>
      </c>
    </row>
    <row r="1214">
      <c r="E1214" s="12">
        <f>IF(OR(NOT(ISNUMBER($C1214)),$A1215=""),"",$C1214+N($E1213))</f>
      </c>
      <c r="F1214" s="13">
        <f>IF(NOT(ISNUMBER($E1214)),"",IF($E1214-$C1214&lt;0.8,"A",IF($E1214-$C1214&lt;0.95,"B","C")))</f>
      </c>
    </row>
    <row r="1215">
      <c r="E1215" s="12">
        <f>IF(OR(NOT(ISNUMBER($C1215)),$A1216=""),"",$C1215+N($E1214))</f>
      </c>
      <c r="F1215" s="13">
        <f>IF(NOT(ISNUMBER($E1215)),"",IF($E1215-$C1215&lt;0.8,"A",IF($E1215-$C1215&lt;0.95,"B","C")))</f>
      </c>
    </row>
    <row r="1216">
      <c r="E1216" s="12">
        <f>IF(OR(NOT(ISNUMBER($C1216)),$A1217=""),"",$C1216+N($E1215))</f>
      </c>
      <c r="F1216" s="13">
        <f>IF(NOT(ISNUMBER($E1216)),"",IF($E1216-$C1216&lt;0.8,"A",IF($E1216-$C1216&lt;0.95,"B","C")))</f>
      </c>
    </row>
    <row r="1217">
      <c r="E1217" s="12">
        <f>IF(OR(NOT(ISNUMBER($C1217)),$A1218=""),"",$C1217+N($E1216))</f>
      </c>
      <c r="F1217" s="13">
        <f>IF(NOT(ISNUMBER($E1217)),"",IF($E1217-$C1217&lt;0.8,"A",IF($E1217-$C1217&lt;0.95,"B","C")))</f>
      </c>
    </row>
    <row r="1218">
      <c r="E1218" s="12">
        <f>IF(OR(NOT(ISNUMBER($C1218)),$A1219=""),"",$C1218+N($E1217))</f>
      </c>
      <c r="F1218" s="13">
        <f>IF(NOT(ISNUMBER($E1218)),"",IF($E1218-$C1218&lt;0.8,"A",IF($E1218-$C1218&lt;0.95,"B","C")))</f>
      </c>
    </row>
    <row r="1219">
      <c r="E1219" s="12">
        <f>IF(OR(NOT(ISNUMBER($C1219)),$A1220=""),"",$C1219+N($E1218))</f>
      </c>
      <c r="F1219" s="13">
        <f>IF(NOT(ISNUMBER($E1219)),"",IF($E1219-$C1219&lt;0.8,"A",IF($E1219-$C1219&lt;0.95,"B","C")))</f>
      </c>
    </row>
    <row r="1220">
      <c r="E1220" s="12">
        <f>IF(OR(NOT(ISNUMBER($C1220)),$A1221=""),"",$C1220+N($E1219))</f>
      </c>
      <c r="F1220" s="13">
        <f>IF(NOT(ISNUMBER($E1220)),"",IF($E1220-$C1220&lt;0.8,"A",IF($E1220-$C1220&lt;0.95,"B","C")))</f>
      </c>
    </row>
    <row r="1221">
      <c r="E1221" s="12">
        <f>IF(OR(NOT(ISNUMBER($C1221)),$A1222=""),"",$C1221+N($E1220))</f>
      </c>
      <c r="F1221" s="13">
        <f>IF(NOT(ISNUMBER($E1221)),"",IF($E1221-$C1221&lt;0.8,"A",IF($E1221-$C1221&lt;0.95,"B","C")))</f>
      </c>
    </row>
    <row r="1222">
      <c r="E1222" s="12">
        <f>IF(OR(NOT(ISNUMBER($C1222)),$A1223=""),"",$C1222+N($E1221))</f>
      </c>
      <c r="F1222" s="13">
        <f>IF(NOT(ISNUMBER($E1222)),"",IF($E1222-$C1222&lt;0.8,"A",IF($E1222-$C1222&lt;0.95,"B","C")))</f>
      </c>
    </row>
    <row r="1223">
      <c r="E1223" s="12">
        <f>IF(OR(NOT(ISNUMBER($C1223)),$A1224=""),"",$C1223+N($E1222))</f>
      </c>
      <c r="F1223" s="13">
        <f>IF(NOT(ISNUMBER($E1223)),"",IF($E1223-$C1223&lt;0.8,"A",IF($E1223-$C1223&lt;0.95,"B","C")))</f>
      </c>
    </row>
    <row r="1224">
      <c r="E1224" s="12">
        <f>IF(OR(NOT(ISNUMBER($C1224)),$A1225=""),"",$C1224+N($E1223))</f>
      </c>
      <c r="F1224" s="13">
        <f>IF(NOT(ISNUMBER($E1224)),"",IF($E1224-$C1224&lt;0.8,"A",IF($E1224-$C1224&lt;0.95,"B","C")))</f>
      </c>
    </row>
    <row r="1225">
      <c r="E1225" s="12">
        <f>IF(OR(NOT(ISNUMBER($C1225)),$A1226=""),"",$C1225+N($E1224))</f>
      </c>
      <c r="F1225" s="13">
        <f>IF(NOT(ISNUMBER($E1225)),"",IF($E1225-$C1225&lt;0.8,"A",IF($E1225-$C1225&lt;0.95,"B","C")))</f>
      </c>
    </row>
    <row r="1226">
      <c r="E1226" s="12">
        <f>IF(OR(NOT(ISNUMBER($C1226)),$A1227=""),"",$C1226+N($E1225))</f>
      </c>
      <c r="F1226" s="13">
        <f>IF(NOT(ISNUMBER($E1226)),"",IF($E1226-$C1226&lt;0.8,"A",IF($E1226-$C1226&lt;0.95,"B","C")))</f>
      </c>
    </row>
    <row r="1227">
      <c r="E1227" s="12">
        <f>IF(OR(NOT(ISNUMBER($C1227)),$A1228=""),"",$C1227+N($E1226))</f>
      </c>
      <c r="F1227" s="13">
        <f>IF(NOT(ISNUMBER($E1227)),"",IF($E1227-$C1227&lt;0.8,"A",IF($E1227-$C1227&lt;0.95,"B","C")))</f>
      </c>
    </row>
    <row r="1228">
      <c r="E1228" s="12">
        <f>IF(OR(NOT(ISNUMBER($C1228)),$A1229=""),"",$C1228+N($E1227))</f>
      </c>
      <c r="F1228" s="13">
        <f>IF(NOT(ISNUMBER($E1228)),"",IF($E1228-$C1228&lt;0.8,"A",IF($E1228-$C1228&lt;0.95,"B","C")))</f>
      </c>
    </row>
    <row r="1229">
      <c r="E1229" s="12">
        <f>IF(OR(NOT(ISNUMBER($C1229)),$A1230=""),"",$C1229+N($E1228))</f>
      </c>
      <c r="F1229" s="13">
        <f>IF(NOT(ISNUMBER($E1229)),"",IF($E1229-$C1229&lt;0.8,"A",IF($E1229-$C1229&lt;0.95,"B","C")))</f>
      </c>
    </row>
    <row r="1230">
      <c r="E1230" s="12">
        <f>IF(OR(NOT(ISNUMBER($C1230)),$A1231=""),"",$C1230+N($E1229))</f>
      </c>
      <c r="F1230" s="13">
        <f>IF(NOT(ISNUMBER($E1230)),"",IF($E1230-$C1230&lt;0.8,"A",IF($E1230-$C1230&lt;0.95,"B","C")))</f>
      </c>
    </row>
    <row r="1231">
      <c r="E1231" s="12">
        <f>IF(OR(NOT(ISNUMBER($C1231)),$A1232=""),"",$C1231+N($E1230))</f>
      </c>
      <c r="F1231" s="13">
        <f>IF(NOT(ISNUMBER($E1231)),"",IF($E1231-$C1231&lt;0.8,"A",IF($E1231-$C1231&lt;0.95,"B","C")))</f>
      </c>
    </row>
    <row r="1232">
      <c r="E1232" s="12">
        <f>IF(OR(NOT(ISNUMBER($C1232)),$A1233=""),"",$C1232+N($E1231))</f>
      </c>
      <c r="F1232" s="13">
        <f>IF(NOT(ISNUMBER($E1232)),"",IF($E1232-$C1232&lt;0.8,"A",IF($E1232-$C1232&lt;0.95,"B","C")))</f>
      </c>
    </row>
    <row r="1233">
      <c r="E1233" s="12">
        <f>IF(OR(NOT(ISNUMBER($C1233)),$A1234=""),"",$C1233+N($E1232))</f>
      </c>
      <c r="F1233" s="13">
        <f>IF(NOT(ISNUMBER($E1233)),"",IF($E1233-$C1233&lt;0.8,"A",IF($E1233-$C1233&lt;0.95,"B","C")))</f>
      </c>
    </row>
    <row r="1234">
      <c r="E1234" s="12">
        <f>IF(OR(NOT(ISNUMBER($C1234)),$A1235=""),"",$C1234+N($E1233))</f>
      </c>
      <c r="F1234" s="13">
        <f>IF(NOT(ISNUMBER($E1234)),"",IF($E1234-$C1234&lt;0.8,"A",IF($E1234-$C1234&lt;0.95,"B","C")))</f>
      </c>
    </row>
    <row r="1235">
      <c r="E1235" s="12">
        <f>IF(OR(NOT(ISNUMBER($C1235)),$A1236=""),"",$C1235+N($E1234))</f>
      </c>
      <c r="F1235" s="13">
        <f>IF(NOT(ISNUMBER($E1235)),"",IF($E1235-$C1235&lt;0.8,"A",IF($E1235-$C1235&lt;0.95,"B","C")))</f>
      </c>
    </row>
    <row r="1236">
      <c r="E1236" s="12">
        <f>IF(OR(NOT(ISNUMBER($C1236)),$A1237=""),"",$C1236+N($E1235))</f>
      </c>
      <c r="F1236" s="13">
        <f>IF(NOT(ISNUMBER($E1236)),"",IF($E1236-$C1236&lt;0.8,"A",IF($E1236-$C1236&lt;0.95,"B","C")))</f>
      </c>
    </row>
    <row r="1237">
      <c r="E1237" s="12">
        <f>IF(OR(NOT(ISNUMBER($C1237)),$A1238=""),"",$C1237+N($E1236))</f>
      </c>
      <c r="F1237" s="13">
        <f>IF(NOT(ISNUMBER($E1237)),"",IF($E1237-$C1237&lt;0.8,"A",IF($E1237-$C1237&lt;0.95,"B","C")))</f>
      </c>
    </row>
    <row r="1238">
      <c r="E1238" s="12">
        <f>IF(OR(NOT(ISNUMBER($C1238)),$A1239=""),"",$C1238+N($E1237))</f>
      </c>
      <c r="F1238" s="13">
        <f>IF(NOT(ISNUMBER($E1238)),"",IF($E1238-$C1238&lt;0.8,"A",IF($E1238-$C1238&lt;0.95,"B","C")))</f>
      </c>
    </row>
    <row r="1239">
      <c r="E1239" s="12">
        <f>IF(OR(NOT(ISNUMBER($C1239)),$A1240=""),"",$C1239+N($E1238))</f>
      </c>
      <c r="F1239" s="13">
        <f>IF(NOT(ISNUMBER($E1239)),"",IF($E1239-$C1239&lt;0.8,"A",IF($E1239-$C1239&lt;0.95,"B","C")))</f>
      </c>
    </row>
    <row r="1240">
      <c r="E1240" s="12">
        <f>IF(OR(NOT(ISNUMBER($C1240)),$A1241=""),"",$C1240+N($E1239))</f>
      </c>
      <c r="F1240" s="13">
        <f>IF(NOT(ISNUMBER($E1240)),"",IF($E1240-$C1240&lt;0.8,"A",IF($E1240-$C1240&lt;0.95,"B","C")))</f>
      </c>
    </row>
    <row r="1241">
      <c r="E1241" s="12">
        <f>IF(OR(NOT(ISNUMBER($C1241)),$A1242=""),"",$C1241+N($E1240))</f>
      </c>
      <c r="F1241" s="13">
        <f>IF(NOT(ISNUMBER($E1241)),"",IF($E1241-$C1241&lt;0.8,"A",IF($E1241-$C1241&lt;0.95,"B","C")))</f>
      </c>
    </row>
    <row r="1242">
      <c r="E1242" s="12">
        <f>IF(OR(NOT(ISNUMBER($C1242)),$A1243=""),"",$C1242+N($E1241))</f>
      </c>
      <c r="F1242" s="13">
        <f>IF(NOT(ISNUMBER($E1242)),"",IF($E1242-$C1242&lt;0.8,"A",IF($E1242-$C1242&lt;0.95,"B","C")))</f>
      </c>
    </row>
    <row r="1243">
      <c r="E1243" s="12">
        <f>IF(OR(NOT(ISNUMBER($C1243)),$A1244=""),"",$C1243+N($E1242))</f>
      </c>
      <c r="F1243" s="13">
        <f>IF(NOT(ISNUMBER($E1243)),"",IF($E1243-$C1243&lt;0.8,"A",IF($E1243-$C1243&lt;0.95,"B","C")))</f>
      </c>
    </row>
    <row r="1244">
      <c r="E1244" s="12">
        <f>IF(OR(NOT(ISNUMBER($C1244)),$A1245=""),"",$C1244+N($E1243))</f>
      </c>
      <c r="F1244" s="13">
        <f>IF(NOT(ISNUMBER($E1244)),"",IF($E1244-$C1244&lt;0.8,"A",IF($E1244-$C1244&lt;0.95,"B","C")))</f>
      </c>
    </row>
    <row r="1245">
      <c r="E1245" s="12">
        <f>IF(OR(NOT(ISNUMBER($C1245)),$A1246=""),"",$C1245+N($E1244))</f>
      </c>
      <c r="F1245" s="13">
        <f>IF(NOT(ISNUMBER($E1245)),"",IF($E1245-$C1245&lt;0.8,"A",IF($E1245-$C1245&lt;0.95,"B","C")))</f>
      </c>
    </row>
    <row r="1246">
      <c r="E1246" s="12">
        <f>IF(OR(NOT(ISNUMBER($C1246)),$A1247=""),"",$C1246+N($E1245))</f>
      </c>
      <c r="F1246" s="13">
        <f>IF(NOT(ISNUMBER($E1246)),"",IF($E1246-$C1246&lt;0.8,"A",IF($E1246-$C1246&lt;0.95,"B","C")))</f>
      </c>
    </row>
    <row r="1247">
      <c r="E1247" s="12">
        <f>IF(OR(NOT(ISNUMBER($C1247)),$A1248=""),"",$C1247+N($E1246))</f>
      </c>
      <c r="F1247" s="13">
        <f>IF(NOT(ISNUMBER($E1247)),"",IF($E1247-$C1247&lt;0.8,"A",IF($E1247-$C1247&lt;0.95,"B","C")))</f>
      </c>
    </row>
    <row r="1248">
      <c r="E1248" s="12">
        <f>IF(OR(NOT(ISNUMBER($C1248)),$A1249=""),"",$C1248+N($E1247))</f>
      </c>
      <c r="F1248" s="13">
        <f>IF(NOT(ISNUMBER($E1248)),"",IF($E1248-$C1248&lt;0.8,"A",IF($E1248-$C1248&lt;0.95,"B","C")))</f>
      </c>
    </row>
    <row r="1249">
      <c r="E1249" s="12">
        <f>IF(OR(NOT(ISNUMBER($C1249)),$A1250=""),"",$C1249+N($E1248))</f>
      </c>
      <c r="F1249" s="13">
        <f>IF(NOT(ISNUMBER($E1249)),"",IF($E1249-$C1249&lt;0.8,"A",IF($E1249-$C1249&lt;0.95,"B","C")))</f>
      </c>
    </row>
    <row r="1250">
      <c r="E1250" s="12">
        <f>IF(OR(NOT(ISNUMBER($C1250)),$A1251=""),"",$C1250+N($E1249))</f>
      </c>
      <c r="F1250" s="13">
        <f>IF(NOT(ISNUMBER($E1250)),"",IF($E1250-$C1250&lt;0.8,"A",IF($E1250-$C1250&lt;0.95,"B","C")))</f>
      </c>
    </row>
    <row r="1251">
      <c r="E1251" s="12">
        <f>IF(OR(NOT(ISNUMBER($C1251)),$A1252=""),"",$C1251+N($E1250))</f>
      </c>
      <c r="F1251" s="13">
        <f>IF(NOT(ISNUMBER($E1251)),"",IF($E1251-$C1251&lt;0.8,"A",IF($E1251-$C1251&lt;0.95,"B","C")))</f>
      </c>
    </row>
    <row r="1252">
      <c r="E1252" s="12">
        <f>IF(OR(NOT(ISNUMBER($C1252)),$A1253=""),"",$C1252+N($E1251))</f>
      </c>
      <c r="F1252" s="13">
        <f>IF(NOT(ISNUMBER($E1252)),"",IF($E1252-$C1252&lt;0.8,"A",IF($E1252-$C1252&lt;0.95,"B","C")))</f>
      </c>
    </row>
    <row r="1253">
      <c r="E1253" s="12">
        <f>IF(OR(NOT(ISNUMBER($C1253)),$A1254=""),"",$C1253+N($E1252))</f>
      </c>
      <c r="F1253" s="13">
        <f>IF(NOT(ISNUMBER($E1253)),"",IF($E1253-$C1253&lt;0.8,"A",IF($E1253-$C1253&lt;0.95,"B","C")))</f>
      </c>
    </row>
    <row r="1254">
      <c r="E1254" s="12">
        <f>IF(OR(NOT(ISNUMBER($C1254)),$A1255=""),"",$C1254+N($E1253))</f>
      </c>
      <c r="F1254" s="13">
        <f>IF(NOT(ISNUMBER($E1254)),"",IF($E1254-$C1254&lt;0.8,"A",IF($E1254-$C1254&lt;0.95,"B","C")))</f>
      </c>
    </row>
    <row r="1255">
      <c r="E1255" s="12">
        <f>IF(OR(NOT(ISNUMBER($C1255)),$A1256=""),"",$C1255+N($E1254))</f>
      </c>
      <c r="F1255" s="13">
        <f>IF(NOT(ISNUMBER($E1255)),"",IF($E1255-$C1255&lt;0.8,"A",IF($E1255-$C1255&lt;0.95,"B","C")))</f>
      </c>
    </row>
    <row r="1256">
      <c r="E1256" s="12">
        <f>IF(OR(NOT(ISNUMBER($C1256)),$A1257=""),"",$C1256+N($E1255))</f>
      </c>
      <c r="F1256" s="13">
        <f>IF(NOT(ISNUMBER($E1256)),"",IF($E1256-$C1256&lt;0.8,"A",IF($E1256-$C1256&lt;0.95,"B","C")))</f>
      </c>
    </row>
    <row r="1257">
      <c r="E1257" s="12">
        <f>IF(OR(NOT(ISNUMBER($C1257)),$A1258=""),"",$C1257+N($E1256))</f>
      </c>
      <c r="F1257" s="13">
        <f>IF(NOT(ISNUMBER($E1257)),"",IF($E1257-$C1257&lt;0.8,"A",IF($E1257-$C1257&lt;0.95,"B","C")))</f>
      </c>
    </row>
    <row r="1258">
      <c r="E1258" s="12">
        <f>IF(OR(NOT(ISNUMBER($C1258)),$A1259=""),"",$C1258+N($E1257))</f>
      </c>
      <c r="F1258" s="13">
        <f>IF(NOT(ISNUMBER($E1258)),"",IF($E1258-$C1258&lt;0.8,"A",IF($E1258-$C1258&lt;0.95,"B","C")))</f>
      </c>
    </row>
    <row r="1259">
      <c r="E1259" s="12">
        <f>IF(OR(NOT(ISNUMBER($C1259)),$A1260=""),"",$C1259+N($E1258))</f>
      </c>
      <c r="F1259" s="13">
        <f>IF(NOT(ISNUMBER($E1259)),"",IF($E1259-$C1259&lt;0.8,"A",IF($E1259-$C1259&lt;0.95,"B","C")))</f>
      </c>
    </row>
    <row r="1260">
      <c r="E1260" s="12">
        <f>IF(OR(NOT(ISNUMBER($C1260)),$A1261=""),"",$C1260+N($E1259))</f>
      </c>
      <c r="F1260" s="13">
        <f>IF(NOT(ISNUMBER($E1260)),"",IF($E1260-$C1260&lt;0.8,"A",IF($E1260-$C1260&lt;0.95,"B","C")))</f>
      </c>
    </row>
    <row r="1261">
      <c r="E1261" s="12">
        <f>IF(OR(NOT(ISNUMBER($C1261)),$A1262=""),"",$C1261+N($E1260))</f>
      </c>
      <c r="F1261" s="13">
        <f>IF(NOT(ISNUMBER($E1261)),"",IF($E1261-$C1261&lt;0.8,"A",IF($E1261-$C1261&lt;0.95,"B","C")))</f>
      </c>
    </row>
    <row r="1262">
      <c r="E1262" s="12">
        <f>IF(OR(NOT(ISNUMBER($C1262)),$A1263=""),"",$C1262+N($E1261))</f>
      </c>
      <c r="F1262" s="13">
        <f>IF(NOT(ISNUMBER($E1262)),"",IF($E1262-$C1262&lt;0.8,"A",IF($E1262-$C1262&lt;0.95,"B","C")))</f>
      </c>
    </row>
    <row r="1263">
      <c r="E1263" s="12">
        <f>IF(OR(NOT(ISNUMBER($C1263)),$A1264=""),"",$C1263+N($E1262))</f>
      </c>
      <c r="F1263" s="13">
        <f>IF(NOT(ISNUMBER($E1263)),"",IF($E1263-$C1263&lt;0.8,"A",IF($E1263-$C1263&lt;0.95,"B","C")))</f>
      </c>
    </row>
    <row r="1264">
      <c r="E1264" s="12">
        <f>IF(OR(NOT(ISNUMBER($C1264)),$A1265=""),"",$C1264+N($E1263))</f>
      </c>
      <c r="F1264" s="13">
        <f>IF(NOT(ISNUMBER($E1264)),"",IF($E1264-$C1264&lt;0.8,"A",IF($E1264-$C1264&lt;0.95,"B","C")))</f>
      </c>
    </row>
    <row r="1265">
      <c r="E1265" s="12">
        <f>IF(OR(NOT(ISNUMBER($C1265)),$A1266=""),"",$C1265+N($E1264))</f>
      </c>
      <c r="F1265" s="13">
        <f>IF(NOT(ISNUMBER($E1265)),"",IF($E1265-$C1265&lt;0.8,"A",IF($E1265-$C1265&lt;0.95,"B","C")))</f>
      </c>
    </row>
    <row r="1266">
      <c r="E1266" s="12">
        <f>IF(OR(NOT(ISNUMBER($C1266)),$A1267=""),"",$C1266+N($E1265))</f>
      </c>
      <c r="F1266" s="13">
        <f>IF(NOT(ISNUMBER($E1266)),"",IF($E1266-$C1266&lt;0.8,"A",IF($E1266-$C1266&lt;0.95,"B","C")))</f>
      </c>
    </row>
    <row r="1267">
      <c r="E1267" s="12">
        <f>IF(OR(NOT(ISNUMBER($C1267)),$A1268=""),"",$C1267+N($E1266))</f>
      </c>
      <c r="F1267" s="13">
        <f>IF(NOT(ISNUMBER($E1267)),"",IF($E1267-$C1267&lt;0.8,"A",IF($E1267-$C1267&lt;0.95,"B","C")))</f>
      </c>
    </row>
    <row r="1268">
      <c r="E1268" s="12">
        <f>IF(OR(NOT(ISNUMBER($C1268)),$A1269=""),"",$C1268+N($E1267))</f>
      </c>
      <c r="F1268" s="13">
        <f>IF(NOT(ISNUMBER($E1268)),"",IF($E1268-$C1268&lt;0.8,"A",IF($E1268-$C1268&lt;0.95,"B","C")))</f>
      </c>
    </row>
    <row r="1269">
      <c r="E1269" s="12">
        <f>IF(OR(NOT(ISNUMBER($C1269)),$A1270=""),"",$C1269+N($E1268))</f>
      </c>
      <c r="F1269" s="13">
        <f>IF(NOT(ISNUMBER($E1269)),"",IF($E1269-$C1269&lt;0.8,"A",IF($E1269-$C1269&lt;0.95,"B","C")))</f>
      </c>
    </row>
    <row r="1270">
      <c r="E1270" s="12">
        <f>IF(OR(NOT(ISNUMBER($C1270)),$A1271=""),"",$C1270+N($E1269))</f>
      </c>
      <c r="F1270" s="13">
        <f>IF(NOT(ISNUMBER($E1270)),"",IF($E1270-$C1270&lt;0.8,"A",IF($E1270-$C1270&lt;0.95,"B","C")))</f>
      </c>
    </row>
    <row r="1271">
      <c r="E1271" s="12">
        <f>IF(OR(NOT(ISNUMBER($C1271)),$A1272=""),"",$C1271+N($E1270))</f>
      </c>
      <c r="F1271" s="13">
        <f>IF(NOT(ISNUMBER($E1271)),"",IF($E1271-$C1271&lt;0.8,"A",IF($E1271-$C1271&lt;0.95,"B","C")))</f>
      </c>
    </row>
    <row r="1272">
      <c r="E1272" s="12">
        <f>IF(OR(NOT(ISNUMBER($C1272)),$A1273=""),"",$C1272+N($E1271))</f>
      </c>
      <c r="F1272" s="13">
        <f>IF(NOT(ISNUMBER($E1272)),"",IF($E1272-$C1272&lt;0.8,"A",IF($E1272-$C1272&lt;0.95,"B","C")))</f>
      </c>
    </row>
    <row r="1273">
      <c r="E1273" s="12">
        <f>IF(OR(NOT(ISNUMBER($C1273)),$A1274=""),"",$C1273+N($E1272))</f>
      </c>
      <c r="F1273" s="13">
        <f>IF(NOT(ISNUMBER($E1273)),"",IF($E1273-$C1273&lt;0.8,"A",IF($E1273-$C1273&lt;0.95,"B","C")))</f>
      </c>
    </row>
    <row r="1274">
      <c r="E1274" s="12">
        <f>IF(OR(NOT(ISNUMBER($C1274)),$A1275=""),"",$C1274+N($E1273))</f>
      </c>
      <c r="F1274" s="13">
        <f>IF(NOT(ISNUMBER($E1274)),"",IF($E1274-$C1274&lt;0.8,"A",IF($E1274-$C1274&lt;0.95,"B","C")))</f>
      </c>
    </row>
    <row r="1275">
      <c r="E1275" s="12">
        <f>IF(OR(NOT(ISNUMBER($C1275)),$A1276=""),"",$C1275+N($E1274))</f>
      </c>
      <c r="F1275" s="13">
        <f>IF(NOT(ISNUMBER($E1275)),"",IF($E1275-$C1275&lt;0.8,"A",IF($E1275-$C1275&lt;0.95,"B","C")))</f>
      </c>
    </row>
    <row r="1276">
      <c r="E1276" s="12">
        <f>IF(OR(NOT(ISNUMBER($C1276)),$A1277=""),"",$C1276+N($E1275))</f>
      </c>
      <c r="F1276" s="13">
        <f>IF(NOT(ISNUMBER($E1276)),"",IF($E1276-$C1276&lt;0.8,"A",IF($E1276-$C1276&lt;0.95,"B","C")))</f>
      </c>
    </row>
    <row r="1277">
      <c r="E1277" s="12">
        <f>IF(OR(NOT(ISNUMBER($C1277)),$A1278=""),"",$C1277+N($E1276))</f>
      </c>
      <c r="F1277" s="13">
        <f>IF(NOT(ISNUMBER($E1277)),"",IF($E1277-$C1277&lt;0.8,"A",IF($E1277-$C1277&lt;0.95,"B","C")))</f>
      </c>
    </row>
    <row r="1278">
      <c r="E1278" s="12">
        <f>IF(OR(NOT(ISNUMBER($C1278)),$A1279=""),"",$C1278+N($E1277))</f>
      </c>
      <c r="F1278" s="13">
        <f>IF(NOT(ISNUMBER($E1278)),"",IF($E1278-$C1278&lt;0.8,"A",IF($E1278-$C1278&lt;0.95,"B","C")))</f>
      </c>
    </row>
    <row r="1279">
      <c r="E1279" s="12">
        <f>IF(OR(NOT(ISNUMBER($C1279)),$A1280=""),"",$C1279+N($E1278))</f>
      </c>
      <c r="F1279" s="13">
        <f>IF(NOT(ISNUMBER($E1279)),"",IF($E1279-$C1279&lt;0.8,"A",IF($E1279-$C1279&lt;0.95,"B","C")))</f>
      </c>
    </row>
    <row r="1280">
      <c r="E1280" s="12">
        <f>IF(OR(NOT(ISNUMBER($C1280)),$A1281=""),"",$C1280+N($E1279))</f>
      </c>
      <c r="F1280" s="13">
        <f>IF(NOT(ISNUMBER($E1280)),"",IF($E1280-$C1280&lt;0.8,"A",IF($E1280-$C1280&lt;0.95,"B","C")))</f>
      </c>
    </row>
    <row r="1281">
      <c r="E1281" s="12">
        <f>IF(OR(NOT(ISNUMBER($C1281)),$A1282=""),"",$C1281+N($E1280))</f>
      </c>
      <c r="F1281" s="13">
        <f>IF(NOT(ISNUMBER($E1281)),"",IF($E1281-$C1281&lt;0.8,"A",IF($E1281-$C1281&lt;0.95,"B","C")))</f>
      </c>
    </row>
    <row r="1282">
      <c r="E1282" s="12">
        <f>IF(OR(NOT(ISNUMBER($C1282)),$A1283=""),"",$C1282+N($E1281))</f>
      </c>
      <c r="F1282" s="13">
        <f>IF(NOT(ISNUMBER($E1282)),"",IF($E1282-$C1282&lt;0.8,"A",IF($E1282-$C1282&lt;0.95,"B","C")))</f>
      </c>
    </row>
    <row r="1283">
      <c r="E1283" s="12">
        <f>IF(OR(NOT(ISNUMBER($C1283)),$A1284=""),"",$C1283+N($E1282))</f>
      </c>
      <c r="F1283" s="13">
        <f>IF(NOT(ISNUMBER($E1283)),"",IF($E1283-$C1283&lt;0.8,"A",IF($E1283-$C1283&lt;0.95,"B","C")))</f>
      </c>
    </row>
    <row r="1284">
      <c r="E1284" s="12">
        <f>IF(OR(NOT(ISNUMBER($C1284)),$A1285=""),"",$C1284+N($E1283))</f>
      </c>
      <c r="F1284" s="13">
        <f>IF(NOT(ISNUMBER($E1284)),"",IF($E1284-$C1284&lt;0.8,"A",IF($E1284-$C1284&lt;0.95,"B","C")))</f>
      </c>
    </row>
    <row r="1285">
      <c r="E1285" s="12">
        <f>IF(OR(NOT(ISNUMBER($C1285)),$A1286=""),"",$C1285+N($E1284))</f>
      </c>
      <c r="F1285" s="13">
        <f>IF(NOT(ISNUMBER($E1285)),"",IF($E1285-$C1285&lt;0.8,"A",IF($E1285-$C1285&lt;0.95,"B","C")))</f>
      </c>
    </row>
    <row r="1286">
      <c r="E1286" s="12">
        <f>IF(OR(NOT(ISNUMBER($C1286)),$A1287=""),"",$C1286+N($E1285))</f>
      </c>
      <c r="F1286" s="13">
        <f>IF(NOT(ISNUMBER($E1286)),"",IF($E1286-$C1286&lt;0.8,"A",IF($E1286-$C1286&lt;0.95,"B","C")))</f>
      </c>
    </row>
    <row r="1287">
      <c r="E1287" s="12">
        <f>IF(OR(NOT(ISNUMBER($C1287)),$A1288=""),"",$C1287+N($E1286))</f>
      </c>
      <c r="F1287" s="13">
        <f>IF(NOT(ISNUMBER($E1287)),"",IF($E1287-$C1287&lt;0.8,"A",IF($E1287-$C1287&lt;0.95,"B","C")))</f>
      </c>
    </row>
    <row r="1288">
      <c r="E1288" s="12">
        <f>IF(OR(NOT(ISNUMBER($C1288)),$A1289=""),"",$C1288+N($E1287))</f>
      </c>
      <c r="F1288" s="13">
        <f>IF(NOT(ISNUMBER($E1288)),"",IF($E1288-$C1288&lt;0.8,"A",IF($E1288-$C1288&lt;0.95,"B","C")))</f>
      </c>
    </row>
    <row r="1289">
      <c r="E1289" s="12">
        <f>IF(OR(NOT(ISNUMBER($C1289)),$A1290=""),"",$C1289+N($E1288))</f>
      </c>
      <c r="F1289" s="13">
        <f>IF(NOT(ISNUMBER($E1289)),"",IF($E1289-$C1289&lt;0.8,"A",IF($E1289-$C1289&lt;0.95,"B","C")))</f>
      </c>
    </row>
    <row r="1290">
      <c r="E1290" s="12">
        <f>IF(OR(NOT(ISNUMBER($C1290)),$A1291=""),"",$C1290+N($E1289))</f>
      </c>
      <c r="F1290" s="13">
        <f>IF(NOT(ISNUMBER($E1290)),"",IF($E1290-$C1290&lt;0.8,"A",IF($E1290-$C1290&lt;0.95,"B","C")))</f>
      </c>
    </row>
    <row r="1291">
      <c r="E1291" s="12">
        <f>IF(OR(NOT(ISNUMBER($C1291)),$A1292=""),"",$C1291+N($E1290))</f>
      </c>
      <c r="F1291" s="13">
        <f>IF(NOT(ISNUMBER($E1291)),"",IF($E1291-$C1291&lt;0.8,"A",IF($E1291-$C1291&lt;0.95,"B","C")))</f>
      </c>
    </row>
    <row r="1292">
      <c r="E1292" s="12">
        <f>IF(OR(NOT(ISNUMBER($C1292)),$A1293=""),"",$C1292+N($E1291))</f>
      </c>
      <c r="F1292" s="13">
        <f>IF(NOT(ISNUMBER($E1292)),"",IF($E1292-$C1292&lt;0.8,"A",IF($E1292-$C1292&lt;0.95,"B","C")))</f>
      </c>
    </row>
    <row r="1293">
      <c r="E1293" s="12">
        <f>IF(OR(NOT(ISNUMBER($C1293)),$A1294=""),"",$C1293+N($E1292))</f>
      </c>
      <c r="F1293" s="13">
        <f>IF(NOT(ISNUMBER($E1293)),"",IF($E1293-$C1293&lt;0.8,"A",IF($E1293-$C1293&lt;0.95,"B","C")))</f>
      </c>
    </row>
    <row r="1294">
      <c r="E1294" s="12">
        <f>IF(OR(NOT(ISNUMBER($C1294)),$A1295=""),"",$C1294+N($E1293))</f>
      </c>
      <c r="F1294" s="13">
        <f>IF(NOT(ISNUMBER($E1294)),"",IF($E1294-$C1294&lt;0.8,"A",IF($E1294-$C1294&lt;0.95,"B","C")))</f>
      </c>
    </row>
    <row r="1295">
      <c r="E1295" s="12">
        <f>IF(OR(NOT(ISNUMBER($C1295)),$A1296=""),"",$C1295+N($E1294))</f>
      </c>
      <c r="F1295" s="13">
        <f>IF(NOT(ISNUMBER($E1295)),"",IF($E1295-$C1295&lt;0.8,"A",IF($E1295-$C1295&lt;0.95,"B","C")))</f>
      </c>
    </row>
    <row r="1296">
      <c r="E1296" s="12">
        <f>IF(OR(NOT(ISNUMBER($C1296)),$A1297=""),"",$C1296+N($E1295))</f>
      </c>
      <c r="F1296" s="13">
        <f>IF(NOT(ISNUMBER($E1296)),"",IF($E1296-$C1296&lt;0.8,"A",IF($E1296-$C1296&lt;0.95,"B","C")))</f>
      </c>
    </row>
    <row r="1297">
      <c r="E1297" s="12">
        <f>IF(OR(NOT(ISNUMBER($C1297)),$A1298=""),"",$C1297+N($E1296))</f>
      </c>
      <c r="F1297" s="13">
        <f>IF(NOT(ISNUMBER($E1297)),"",IF($E1297-$C1297&lt;0.8,"A",IF($E1297-$C1297&lt;0.95,"B","C")))</f>
      </c>
    </row>
    <row r="1298">
      <c r="E1298" s="12">
        <f>IF(OR(NOT(ISNUMBER($C1298)),$A1299=""),"",$C1298+N($E1297))</f>
      </c>
      <c r="F1298" s="13">
        <f>IF(NOT(ISNUMBER($E1298)),"",IF($E1298-$C1298&lt;0.8,"A",IF($E1298-$C1298&lt;0.95,"B","C")))</f>
      </c>
    </row>
    <row r="1299">
      <c r="E1299" s="12">
        <f>IF(OR(NOT(ISNUMBER($C1299)),$A1300=""),"",$C1299+N($E1298))</f>
      </c>
      <c r="F1299" s="13">
        <f>IF(NOT(ISNUMBER($E1299)),"",IF($E1299-$C1299&lt;0.8,"A",IF($E1299-$C1299&lt;0.95,"B","C")))</f>
      </c>
    </row>
    <row r="1300">
      <c r="E1300" s="12">
        <f>IF(OR(NOT(ISNUMBER($C1300)),$A1301=""),"",$C1300+N($E1299))</f>
      </c>
      <c r="F1300" s="13">
        <f>IF(NOT(ISNUMBER($E1300)),"",IF($E1300-$C1300&lt;0.8,"A",IF($E1300-$C1300&lt;0.95,"B","C")))</f>
      </c>
    </row>
    <row r="1301">
      <c r="E1301" s="12">
        <f>IF(OR(NOT(ISNUMBER($C1301)),$A1302=""),"",$C1301+N($E1300))</f>
      </c>
      <c r="F1301" s="13">
        <f>IF(NOT(ISNUMBER($E1301)),"",IF($E1301-$C1301&lt;0.8,"A",IF($E1301-$C1301&lt;0.95,"B","C")))</f>
      </c>
    </row>
    <row r="1302">
      <c r="E1302" s="12">
        <f>IF(OR(NOT(ISNUMBER($C1302)),$A1303=""),"",$C1302+N($E1301))</f>
      </c>
      <c r="F1302" s="13">
        <f>IF(NOT(ISNUMBER($E1302)),"",IF($E1302-$C1302&lt;0.8,"A",IF($E1302-$C1302&lt;0.95,"B","C")))</f>
      </c>
    </row>
    <row r="1303">
      <c r="E1303" s="12">
        <f>IF(OR(NOT(ISNUMBER($C1303)),$A1304=""),"",$C1303+N($E1302))</f>
      </c>
      <c r="F1303" s="13">
        <f>IF(NOT(ISNUMBER($E1303)),"",IF($E1303-$C1303&lt;0.8,"A",IF($E1303-$C1303&lt;0.95,"B","C")))</f>
      </c>
    </row>
    <row r="1304">
      <c r="E1304" s="12">
        <f>IF(OR(NOT(ISNUMBER($C1304)),$A1305=""),"",$C1304+N($E1303))</f>
      </c>
      <c r="F1304" s="13">
        <f>IF(NOT(ISNUMBER($E1304)),"",IF($E1304-$C1304&lt;0.8,"A",IF($E1304-$C1304&lt;0.95,"B","C")))</f>
      </c>
    </row>
    <row r="1305">
      <c r="E1305" s="12">
        <f>IF(OR(NOT(ISNUMBER($C1305)),$A1306=""),"",$C1305+N($E1304))</f>
      </c>
      <c r="F1305" s="13">
        <f>IF(NOT(ISNUMBER($E1305)),"",IF($E1305-$C1305&lt;0.8,"A",IF($E1305-$C1305&lt;0.95,"B","C")))</f>
      </c>
    </row>
    <row r="1306">
      <c r="E1306" s="12">
        <f>IF(OR(NOT(ISNUMBER($C1306)),$A1307=""),"",$C1306+N($E1305))</f>
      </c>
      <c r="F1306" s="13">
        <f>IF(NOT(ISNUMBER($E1306)),"",IF($E1306-$C1306&lt;0.8,"A",IF($E1306-$C1306&lt;0.95,"B","C")))</f>
      </c>
    </row>
    <row r="1307">
      <c r="E1307" s="12">
        <f>IF(OR(NOT(ISNUMBER($C1307)),$A1308=""),"",$C1307+N($E1306))</f>
      </c>
      <c r="F1307" s="13">
        <f>IF(NOT(ISNUMBER($E1307)),"",IF($E1307-$C1307&lt;0.8,"A",IF($E1307-$C1307&lt;0.95,"B","C")))</f>
      </c>
    </row>
    <row r="1308">
      <c r="E1308" s="12">
        <f>IF(OR(NOT(ISNUMBER($C1308)),$A1309=""),"",$C1308+N($E1307))</f>
      </c>
      <c r="F1308" s="13">
        <f>IF(NOT(ISNUMBER($E1308)),"",IF($E1308-$C1308&lt;0.8,"A",IF($E1308-$C1308&lt;0.95,"B","C")))</f>
      </c>
    </row>
    <row r="1309">
      <c r="E1309" s="12">
        <f>IF(OR(NOT(ISNUMBER($C1309)),$A1310=""),"",$C1309+N($E1308))</f>
      </c>
      <c r="F1309" s="13">
        <f>IF(NOT(ISNUMBER($E1309)),"",IF($E1309-$C1309&lt;0.8,"A",IF($E1309-$C1309&lt;0.95,"B","C")))</f>
      </c>
    </row>
    <row r="1310">
      <c r="E1310" s="12">
        <f>IF(OR(NOT(ISNUMBER($C1310)),$A1311=""),"",$C1310+N($E1309))</f>
      </c>
      <c r="F1310" s="13">
        <f>IF(NOT(ISNUMBER($E1310)),"",IF($E1310-$C1310&lt;0.8,"A",IF($E1310-$C1310&lt;0.95,"B","C")))</f>
      </c>
    </row>
    <row r="1311">
      <c r="E1311" s="12">
        <f>IF(OR(NOT(ISNUMBER($C1311)),$A1312=""),"",$C1311+N($E1310))</f>
      </c>
      <c r="F1311" s="13">
        <f>IF(NOT(ISNUMBER($E1311)),"",IF($E1311-$C1311&lt;0.8,"A",IF($E1311-$C1311&lt;0.95,"B","C")))</f>
      </c>
    </row>
    <row r="1312">
      <c r="E1312" s="12">
        <f>IF(OR(NOT(ISNUMBER($C1312)),$A1313=""),"",$C1312+N($E1311))</f>
      </c>
      <c r="F1312" s="13">
        <f>IF(NOT(ISNUMBER($E1312)),"",IF($E1312-$C1312&lt;0.8,"A",IF($E1312-$C1312&lt;0.95,"B","C")))</f>
      </c>
    </row>
    <row r="1313">
      <c r="E1313" s="12">
        <f>IF(OR(NOT(ISNUMBER($C1313)),$A1314=""),"",$C1313+N($E1312))</f>
      </c>
      <c r="F1313" s="13">
        <f>IF(NOT(ISNUMBER($E1313)),"",IF($E1313-$C1313&lt;0.8,"A",IF($E1313-$C1313&lt;0.95,"B","C")))</f>
      </c>
    </row>
    <row r="1314">
      <c r="E1314" s="12">
        <f>IF(OR(NOT(ISNUMBER($C1314)),$A1315=""),"",$C1314+N($E1313))</f>
      </c>
      <c r="F1314" s="13">
        <f>IF(NOT(ISNUMBER($E1314)),"",IF($E1314-$C1314&lt;0.8,"A",IF($E1314-$C1314&lt;0.95,"B","C")))</f>
      </c>
    </row>
    <row r="1315">
      <c r="E1315" s="12">
        <f>IF(OR(NOT(ISNUMBER($C1315)),$A1316=""),"",$C1315+N($E1314))</f>
      </c>
      <c r="F1315" s="13">
        <f>IF(NOT(ISNUMBER($E1315)),"",IF($E1315-$C1315&lt;0.8,"A",IF($E1315-$C1315&lt;0.95,"B","C")))</f>
      </c>
    </row>
    <row r="1316">
      <c r="E1316" s="12">
        <f>IF(OR(NOT(ISNUMBER($C1316)),$A1317=""),"",$C1316+N($E1315))</f>
      </c>
      <c r="F1316" s="13">
        <f>IF(NOT(ISNUMBER($E1316)),"",IF($E1316-$C1316&lt;0.8,"A",IF($E1316-$C1316&lt;0.95,"B","C")))</f>
      </c>
    </row>
    <row r="1317">
      <c r="E1317" s="12">
        <f>IF(OR(NOT(ISNUMBER($C1317)),$A1318=""),"",$C1317+N($E1316))</f>
      </c>
      <c r="F1317" s="13">
        <f>IF(NOT(ISNUMBER($E1317)),"",IF($E1317-$C1317&lt;0.8,"A",IF($E1317-$C1317&lt;0.95,"B","C")))</f>
      </c>
    </row>
    <row r="1318">
      <c r="E1318" s="12">
        <f>IF(OR(NOT(ISNUMBER($C1318)),$A1319=""),"",$C1318+N($E1317))</f>
      </c>
      <c r="F1318" s="13">
        <f>IF(NOT(ISNUMBER($E1318)),"",IF($E1318-$C1318&lt;0.8,"A",IF($E1318-$C1318&lt;0.95,"B","C")))</f>
      </c>
    </row>
    <row r="1319">
      <c r="E1319" s="12">
        <f>IF(OR(NOT(ISNUMBER($C1319)),$A1320=""),"",$C1319+N($E1318))</f>
      </c>
      <c r="F1319" s="13">
        <f>IF(NOT(ISNUMBER($E1319)),"",IF($E1319-$C1319&lt;0.8,"A",IF($E1319-$C1319&lt;0.95,"B","C")))</f>
      </c>
    </row>
    <row r="1320">
      <c r="E1320" s="12">
        <f>IF(OR(NOT(ISNUMBER($C1320)),$A1321=""),"",$C1320+N($E1319))</f>
      </c>
      <c r="F1320" s="13">
        <f>IF(NOT(ISNUMBER($E1320)),"",IF($E1320-$C1320&lt;0.8,"A",IF($E1320-$C1320&lt;0.95,"B","C")))</f>
      </c>
    </row>
    <row r="1321">
      <c r="E1321" s="12">
        <f>IF(OR(NOT(ISNUMBER($C1321)),$A1322=""),"",$C1321+N($E1320))</f>
      </c>
      <c r="F1321" s="13">
        <f>IF(NOT(ISNUMBER($E1321)),"",IF($E1321-$C1321&lt;0.8,"A",IF($E1321-$C1321&lt;0.95,"B","C")))</f>
      </c>
    </row>
    <row r="1322">
      <c r="E1322" s="12">
        <f>IF(OR(NOT(ISNUMBER($C1322)),$A1323=""),"",$C1322+N($E1321))</f>
      </c>
      <c r="F1322" s="13">
        <f>IF(NOT(ISNUMBER($E1322)),"",IF($E1322-$C1322&lt;0.8,"A",IF($E1322-$C1322&lt;0.95,"B","C")))</f>
      </c>
    </row>
    <row r="1323">
      <c r="E1323" s="12">
        <f>IF(OR(NOT(ISNUMBER($C1323)),$A1324=""),"",$C1323+N($E1322))</f>
      </c>
      <c r="F1323" s="13">
        <f>IF(NOT(ISNUMBER($E1323)),"",IF($E1323-$C1323&lt;0.8,"A",IF($E1323-$C1323&lt;0.95,"B","C")))</f>
      </c>
    </row>
    <row r="1324">
      <c r="E1324" s="12">
        <f>IF(OR(NOT(ISNUMBER($C1324)),$A1325=""),"",$C1324+N($E1323))</f>
      </c>
      <c r="F1324" s="13">
        <f>IF(NOT(ISNUMBER($E1324)),"",IF($E1324-$C1324&lt;0.8,"A",IF($E1324-$C1324&lt;0.95,"B","C")))</f>
      </c>
    </row>
    <row r="1325">
      <c r="E1325" s="12">
        <f>IF(OR(NOT(ISNUMBER($C1325)),$A1326=""),"",$C1325+N($E1324))</f>
      </c>
      <c r="F1325" s="13">
        <f>IF(NOT(ISNUMBER($E1325)),"",IF($E1325-$C1325&lt;0.8,"A",IF($E1325-$C1325&lt;0.95,"B","C")))</f>
      </c>
    </row>
    <row r="1326">
      <c r="E1326" s="12">
        <f>IF(OR(NOT(ISNUMBER($C1326)),$A1327=""),"",$C1326+N($E1325))</f>
      </c>
      <c r="F1326" s="13">
        <f>IF(NOT(ISNUMBER($E1326)),"",IF($E1326-$C1326&lt;0.8,"A",IF($E1326-$C1326&lt;0.95,"B","C")))</f>
      </c>
    </row>
    <row r="1327">
      <c r="E1327" s="12">
        <f>IF(OR(NOT(ISNUMBER($C1327)),$A1328=""),"",$C1327+N($E1326))</f>
      </c>
      <c r="F1327" s="13">
        <f>IF(NOT(ISNUMBER($E1327)),"",IF($E1327-$C1327&lt;0.8,"A",IF($E1327-$C1327&lt;0.95,"B","C")))</f>
      </c>
    </row>
    <row r="1328">
      <c r="E1328" s="12">
        <f>IF(OR(NOT(ISNUMBER($C1328)),$A1329=""),"",$C1328+N($E1327))</f>
      </c>
      <c r="F1328" s="13">
        <f>IF(NOT(ISNUMBER($E1328)),"",IF($E1328-$C1328&lt;0.8,"A",IF($E1328-$C1328&lt;0.95,"B","C")))</f>
      </c>
    </row>
    <row r="1329">
      <c r="E1329" s="12">
        <f>IF(OR(NOT(ISNUMBER($C1329)),$A1330=""),"",$C1329+N($E1328))</f>
      </c>
      <c r="F1329" s="13">
        <f>IF(NOT(ISNUMBER($E1329)),"",IF($E1329-$C1329&lt;0.8,"A",IF($E1329-$C1329&lt;0.95,"B","C")))</f>
      </c>
    </row>
    <row r="1330">
      <c r="E1330" s="12">
        <f>IF(OR(NOT(ISNUMBER($C1330)),$A1331=""),"",$C1330+N($E1329))</f>
      </c>
      <c r="F1330" s="13">
        <f>IF(NOT(ISNUMBER($E1330)),"",IF($E1330-$C1330&lt;0.8,"A",IF($E1330-$C1330&lt;0.95,"B","C")))</f>
      </c>
    </row>
    <row r="1331">
      <c r="E1331" s="12">
        <f>IF(OR(NOT(ISNUMBER($C1331)),$A1332=""),"",$C1331+N($E1330))</f>
      </c>
      <c r="F1331" s="13">
        <f>IF(NOT(ISNUMBER($E1331)),"",IF($E1331-$C1331&lt;0.8,"A",IF($E1331-$C1331&lt;0.95,"B","C")))</f>
      </c>
    </row>
    <row r="1332">
      <c r="E1332" s="12">
        <f>IF(OR(NOT(ISNUMBER($C1332)),$A1333=""),"",$C1332+N($E1331))</f>
      </c>
      <c r="F1332" s="13">
        <f>IF(NOT(ISNUMBER($E1332)),"",IF($E1332-$C1332&lt;0.8,"A",IF($E1332-$C1332&lt;0.95,"B","C")))</f>
      </c>
    </row>
    <row r="1333">
      <c r="E1333" s="12">
        <f>IF(OR(NOT(ISNUMBER($C1333)),$A1334=""),"",$C1333+N($E1332))</f>
      </c>
      <c r="F1333" s="13">
        <f>IF(NOT(ISNUMBER($E1333)),"",IF($E1333-$C1333&lt;0.8,"A",IF($E1333-$C1333&lt;0.95,"B","C")))</f>
      </c>
    </row>
    <row r="1334">
      <c r="E1334" s="12">
        <f>IF(OR(NOT(ISNUMBER($C1334)),$A1335=""),"",$C1334+N($E1333))</f>
      </c>
      <c r="F1334" s="13">
        <f>IF(NOT(ISNUMBER($E1334)),"",IF($E1334-$C1334&lt;0.8,"A",IF($E1334-$C1334&lt;0.95,"B","C")))</f>
      </c>
    </row>
    <row r="1335">
      <c r="E1335" s="12">
        <f>IF(OR(NOT(ISNUMBER($C1335)),$A1336=""),"",$C1335+N($E1334))</f>
      </c>
      <c r="F1335" s="13">
        <f>IF(NOT(ISNUMBER($E1335)),"",IF($E1335-$C1335&lt;0.8,"A",IF($E1335-$C1335&lt;0.95,"B","C")))</f>
      </c>
    </row>
    <row r="1336">
      <c r="E1336" s="12">
        <f>IF(OR(NOT(ISNUMBER($C1336)),$A1337=""),"",$C1336+N($E1335))</f>
      </c>
      <c r="F1336" s="13">
        <f>IF(NOT(ISNUMBER($E1336)),"",IF($E1336-$C1336&lt;0.8,"A",IF($E1336-$C1336&lt;0.95,"B","C")))</f>
      </c>
    </row>
    <row r="1337">
      <c r="E1337" s="12">
        <f>IF(OR(NOT(ISNUMBER($C1337)),$A1338=""),"",$C1337+N($E1336))</f>
      </c>
      <c r="F1337" s="13">
        <f>IF(NOT(ISNUMBER($E1337)),"",IF($E1337-$C1337&lt;0.8,"A",IF($E1337-$C1337&lt;0.95,"B","C")))</f>
      </c>
    </row>
    <row r="1338">
      <c r="E1338" s="12">
        <f>IF(OR(NOT(ISNUMBER($C1338)),$A1339=""),"",$C1338+N($E1337))</f>
      </c>
      <c r="F1338" s="13">
        <f>IF(NOT(ISNUMBER($E1338)),"",IF($E1338-$C1338&lt;0.8,"A",IF($E1338-$C1338&lt;0.95,"B","C")))</f>
      </c>
    </row>
    <row r="1339">
      <c r="E1339" s="12">
        <f>IF(OR(NOT(ISNUMBER($C1339)),$A1340=""),"",$C1339+N($E1338))</f>
      </c>
      <c r="F1339" s="13">
        <f>IF(NOT(ISNUMBER($E1339)),"",IF($E1339-$C1339&lt;0.8,"A",IF($E1339-$C1339&lt;0.95,"B","C")))</f>
      </c>
    </row>
    <row r="1340">
      <c r="E1340" s="12">
        <f>IF(OR(NOT(ISNUMBER($C1340)),$A1341=""),"",$C1340+N($E1339))</f>
      </c>
      <c r="F1340" s="13">
        <f>IF(NOT(ISNUMBER($E1340)),"",IF($E1340-$C1340&lt;0.8,"A",IF($E1340-$C1340&lt;0.95,"B","C")))</f>
      </c>
    </row>
    <row r="1341">
      <c r="E1341" s="12">
        <f>IF(OR(NOT(ISNUMBER($C1341)),$A1342=""),"",$C1341+N($E1340))</f>
      </c>
      <c r="F1341" s="13">
        <f>IF(NOT(ISNUMBER($E1341)),"",IF($E1341-$C1341&lt;0.8,"A",IF($E1341-$C1341&lt;0.95,"B","C")))</f>
      </c>
    </row>
    <row r="1342">
      <c r="E1342" s="12">
        <f>IF(OR(NOT(ISNUMBER($C1342)),$A1343=""),"",$C1342+N($E1341))</f>
      </c>
      <c r="F1342" s="13">
        <f>IF(NOT(ISNUMBER($E1342)),"",IF($E1342-$C1342&lt;0.8,"A",IF($E1342-$C1342&lt;0.95,"B","C")))</f>
      </c>
    </row>
    <row r="1343">
      <c r="E1343" s="12">
        <f>IF(OR(NOT(ISNUMBER($C1343)),$A1344=""),"",$C1343+N($E1342))</f>
      </c>
      <c r="F1343" s="13">
        <f>IF(NOT(ISNUMBER($E1343)),"",IF($E1343-$C1343&lt;0.8,"A",IF($E1343-$C1343&lt;0.95,"B","C")))</f>
      </c>
    </row>
    <row r="1344">
      <c r="E1344" s="12">
        <f>IF(OR(NOT(ISNUMBER($C1344)),$A1345=""),"",$C1344+N($E1343))</f>
      </c>
      <c r="F1344" s="13">
        <f>IF(NOT(ISNUMBER($E1344)),"",IF($E1344-$C1344&lt;0.8,"A",IF($E1344-$C1344&lt;0.95,"B","C")))</f>
      </c>
    </row>
    <row r="1345">
      <c r="E1345" s="12">
        <f>IF(OR(NOT(ISNUMBER($C1345)),$A1346=""),"",$C1345+N($E1344))</f>
      </c>
      <c r="F1345" s="13">
        <f>IF(NOT(ISNUMBER($E1345)),"",IF($E1345-$C1345&lt;0.8,"A",IF($E1345-$C1345&lt;0.95,"B","C")))</f>
      </c>
    </row>
    <row r="1346">
      <c r="E1346" s="12">
        <f>IF(OR(NOT(ISNUMBER($C1346)),$A1347=""),"",$C1346+N($E1345))</f>
      </c>
      <c r="F1346" s="13">
        <f>IF(NOT(ISNUMBER($E1346)),"",IF($E1346-$C1346&lt;0.8,"A",IF($E1346-$C1346&lt;0.95,"B","C")))</f>
      </c>
    </row>
    <row r="1347">
      <c r="E1347" s="12">
        <f>IF(OR(NOT(ISNUMBER($C1347)),$A1348=""),"",$C1347+N($E1346))</f>
      </c>
      <c r="F1347" s="13">
        <f>IF(NOT(ISNUMBER($E1347)),"",IF($E1347-$C1347&lt;0.8,"A",IF($E1347-$C1347&lt;0.95,"B","C")))</f>
      </c>
    </row>
    <row r="1348">
      <c r="E1348" s="12">
        <f>IF(OR(NOT(ISNUMBER($C1348)),$A1349=""),"",$C1348+N($E1347))</f>
      </c>
      <c r="F1348" s="13">
        <f>IF(NOT(ISNUMBER($E1348)),"",IF($E1348-$C1348&lt;0.8,"A",IF($E1348-$C1348&lt;0.95,"B","C")))</f>
      </c>
    </row>
    <row r="1349">
      <c r="E1349" s="12">
        <f>IF(OR(NOT(ISNUMBER($C1349)),$A1350=""),"",$C1349+N($E1348))</f>
      </c>
      <c r="F1349" s="13">
        <f>IF(NOT(ISNUMBER($E1349)),"",IF($E1349-$C1349&lt;0.8,"A",IF($E1349-$C1349&lt;0.95,"B","C")))</f>
      </c>
    </row>
    <row r="1350">
      <c r="E1350" s="12">
        <f>IF(OR(NOT(ISNUMBER($C1350)),$A1351=""),"",$C1350+N($E1349))</f>
      </c>
      <c r="F1350" s="13">
        <f>IF(NOT(ISNUMBER($E1350)),"",IF($E1350-$C1350&lt;0.8,"A",IF($E1350-$C1350&lt;0.95,"B","C")))</f>
      </c>
    </row>
    <row r="1351">
      <c r="E1351" s="12">
        <f>IF(OR(NOT(ISNUMBER($C1351)),$A1352=""),"",$C1351+N($E1350))</f>
      </c>
      <c r="F1351" s="13">
        <f>IF(NOT(ISNUMBER($E1351)),"",IF($E1351-$C1351&lt;0.8,"A",IF($E1351-$C1351&lt;0.95,"B","C")))</f>
      </c>
    </row>
    <row r="1352">
      <c r="E1352" s="12">
        <f>IF(OR(NOT(ISNUMBER($C1352)),$A1353=""),"",$C1352+N($E1351))</f>
      </c>
      <c r="F1352" s="13">
        <f>IF(NOT(ISNUMBER($E1352)),"",IF($E1352-$C1352&lt;0.8,"A",IF($E1352-$C1352&lt;0.95,"B","C")))</f>
      </c>
    </row>
    <row r="1353">
      <c r="E1353" s="12">
        <f>IF(OR(NOT(ISNUMBER($C1353)),$A1354=""),"",$C1353+N($E1352))</f>
      </c>
      <c r="F1353" s="13">
        <f>IF(NOT(ISNUMBER($E1353)),"",IF($E1353-$C1353&lt;0.8,"A",IF($E1353-$C1353&lt;0.95,"B","C")))</f>
      </c>
    </row>
    <row r="1354">
      <c r="E1354" s="12">
        <f>IF(OR(NOT(ISNUMBER($C1354)),$A1355=""),"",$C1354+N($E1353))</f>
      </c>
      <c r="F1354" s="13">
        <f>IF(NOT(ISNUMBER($E1354)),"",IF($E1354-$C1354&lt;0.8,"A",IF($E1354-$C1354&lt;0.95,"B","C")))</f>
      </c>
    </row>
    <row r="1355">
      <c r="E1355" s="12">
        <f>IF(OR(NOT(ISNUMBER($C1355)),$A1356=""),"",$C1355+N($E1354))</f>
      </c>
      <c r="F1355" s="13">
        <f>IF(NOT(ISNUMBER($E1355)),"",IF($E1355-$C1355&lt;0.8,"A",IF($E1355-$C1355&lt;0.95,"B","C")))</f>
      </c>
    </row>
    <row r="1356">
      <c r="E1356" s="12">
        <f>IF(OR(NOT(ISNUMBER($C1356)),$A1357=""),"",$C1356+N($E1355))</f>
      </c>
      <c r="F1356" s="13">
        <f>IF(NOT(ISNUMBER($E1356)),"",IF($E1356-$C1356&lt;0.8,"A",IF($E1356-$C1356&lt;0.95,"B","C")))</f>
      </c>
    </row>
    <row r="1357">
      <c r="E1357" s="12">
        <f>IF(OR(NOT(ISNUMBER($C1357)),$A1358=""),"",$C1357+N($E1356))</f>
      </c>
      <c r="F1357" s="13">
        <f>IF(NOT(ISNUMBER($E1357)),"",IF($E1357-$C1357&lt;0.8,"A",IF($E1357-$C1357&lt;0.95,"B","C")))</f>
      </c>
    </row>
    <row r="1358">
      <c r="E1358" s="12">
        <f>IF(OR(NOT(ISNUMBER($C1358)),$A1359=""),"",$C1358+N($E1357))</f>
      </c>
      <c r="F1358" s="13">
        <f>IF(NOT(ISNUMBER($E1358)),"",IF($E1358-$C1358&lt;0.8,"A",IF($E1358-$C1358&lt;0.95,"B","C")))</f>
      </c>
    </row>
    <row r="1359">
      <c r="E1359" s="12">
        <f>IF(OR(NOT(ISNUMBER($C1359)),$A1360=""),"",$C1359+N($E1358))</f>
      </c>
      <c r="F1359" s="13">
        <f>IF(NOT(ISNUMBER($E1359)),"",IF($E1359-$C1359&lt;0.8,"A",IF($E1359-$C1359&lt;0.95,"B","C")))</f>
      </c>
    </row>
    <row r="1360">
      <c r="E1360" s="12">
        <f>IF(OR(NOT(ISNUMBER($C1360)),$A1361=""),"",$C1360+N($E1359))</f>
      </c>
      <c r="F1360" s="13">
        <f>IF(NOT(ISNUMBER($E1360)),"",IF($E1360-$C1360&lt;0.8,"A",IF($E1360-$C1360&lt;0.95,"B","C")))</f>
      </c>
    </row>
    <row r="1361">
      <c r="E1361" s="12">
        <f>IF(OR(NOT(ISNUMBER($C1361)),$A1362=""),"",$C1361+N($E1360))</f>
      </c>
      <c r="F1361" s="13">
        <f>IF(NOT(ISNUMBER($E1361)),"",IF($E1361-$C1361&lt;0.8,"A",IF($E1361-$C1361&lt;0.95,"B","C")))</f>
      </c>
    </row>
    <row r="1362">
      <c r="E1362" s="12">
        <f>IF(OR(NOT(ISNUMBER($C1362)),$A1363=""),"",$C1362+N($E1361))</f>
      </c>
      <c r="F1362" s="13">
        <f>IF(NOT(ISNUMBER($E1362)),"",IF($E1362-$C1362&lt;0.8,"A",IF($E1362-$C1362&lt;0.95,"B","C")))</f>
      </c>
    </row>
    <row r="1363">
      <c r="E1363" s="12">
        <f>IF(OR(NOT(ISNUMBER($C1363)),$A1364=""),"",$C1363+N($E1362))</f>
      </c>
      <c r="F1363" s="13">
        <f>IF(NOT(ISNUMBER($E1363)),"",IF($E1363-$C1363&lt;0.8,"A",IF($E1363-$C1363&lt;0.95,"B","C")))</f>
      </c>
    </row>
    <row r="1364">
      <c r="E1364" s="12">
        <f>IF(OR(NOT(ISNUMBER($C1364)),$A1365=""),"",$C1364+N($E1363))</f>
      </c>
      <c r="F1364" s="13">
        <f>IF(NOT(ISNUMBER($E1364)),"",IF($E1364-$C1364&lt;0.8,"A",IF($E1364-$C1364&lt;0.95,"B","C")))</f>
      </c>
    </row>
    <row r="1365">
      <c r="E1365" s="12">
        <f>IF(OR(NOT(ISNUMBER($C1365)),$A1366=""),"",$C1365+N($E1364))</f>
      </c>
      <c r="F1365" s="13">
        <f>IF(NOT(ISNUMBER($E1365)),"",IF($E1365-$C1365&lt;0.8,"A",IF($E1365-$C1365&lt;0.95,"B","C")))</f>
      </c>
    </row>
    <row r="1366">
      <c r="E1366" s="12">
        <f>IF(OR(NOT(ISNUMBER($C1366)),$A1367=""),"",$C1366+N($E1365))</f>
      </c>
      <c r="F1366" s="13">
        <f>IF(NOT(ISNUMBER($E1366)),"",IF($E1366-$C1366&lt;0.8,"A",IF($E1366-$C1366&lt;0.95,"B","C")))</f>
      </c>
    </row>
    <row r="1367">
      <c r="E1367" s="12">
        <f>IF(OR(NOT(ISNUMBER($C1367)),$A1368=""),"",$C1367+N($E1366))</f>
      </c>
      <c r="F1367" s="13">
        <f>IF(NOT(ISNUMBER($E1367)),"",IF($E1367-$C1367&lt;0.8,"A",IF($E1367-$C1367&lt;0.95,"B","C")))</f>
      </c>
    </row>
    <row r="1368">
      <c r="E1368" s="12">
        <f>IF(OR(NOT(ISNUMBER($C1368)),$A1369=""),"",$C1368+N($E1367))</f>
      </c>
      <c r="F1368" s="13">
        <f>IF(NOT(ISNUMBER($E1368)),"",IF($E1368-$C1368&lt;0.8,"A",IF($E1368-$C1368&lt;0.95,"B","C")))</f>
      </c>
    </row>
    <row r="1369">
      <c r="E1369" s="12">
        <f>IF(OR(NOT(ISNUMBER($C1369)),$A1370=""),"",$C1369+N($E1368))</f>
      </c>
      <c r="F1369" s="13">
        <f>IF(NOT(ISNUMBER($E1369)),"",IF($E1369-$C1369&lt;0.8,"A",IF($E1369-$C1369&lt;0.95,"B","C")))</f>
      </c>
    </row>
    <row r="1370">
      <c r="E1370" s="12">
        <f>IF(OR(NOT(ISNUMBER($C1370)),$A1371=""),"",$C1370+N($E1369))</f>
      </c>
      <c r="F1370" s="13">
        <f>IF(NOT(ISNUMBER($E1370)),"",IF($E1370-$C1370&lt;0.8,"A",IF($E1370-$C1370&lt;0.95,"B","C")))</f>
      </c>
    </row>
    <row r="1371">
      <c r="E1371" s="12">
        <f>IF(OR(NOT(ISNUMBER($C1371)),$A1372=""),"",$C1371+N($E1370))</f>
      </c>
      <c r="F1371" s="13">
        <f>IF(NOT(ISNUMBER($E1371)),"",IF($E1371-$C1371&lt;0.8,"A",IF($E1371-$C1371&lt;0.95,"B","C")))</f>
      </c>
    </row>
    <row r="1372">
      <c r="E1372" s="12">
        <f>IF(OR(NOT(ISNUMBER($C1372)),$A1373=""),"",$C1372+N($E1371))</f>
      </c>
      <c r="F1372" s="13">
        <f>IF(NOT(ISNUMBER($E1372)),"",IF($E1372-$C1372&lt;0.8,"A",IF($E1372-$C1372&lt;0.95,"B","C")))</f>
      </c>
    </row>
    <row r="1373">
      <c r="E1373" s="12">
        <f>IF(OR(NOT(ISNUMBER($C1373)),$A1374=""),"",$C1373+N($E1372))</f>
      </c>
      <c r="F1373" s="13">
        <f>IF(NOT(ISNUMBER($E1373)),"",IF($E1373-$C1373&lt;0.8,"A",IF($E1373-$C1373&lt;0.95,"B","C")))</f>
      </c>
    </row>
    <row r="1374">
      <c r="E1374" s="12">
        <f>IF(OR(NOT(ISNUMBER($C1374)),$A1375=""),"",$C1374+N($E1373))</f>
      </c>
      <c r="F1374" s="13">
        <f>IF(NOT(ISNUMBER($E1374)),"",IF($E1374-$C1374&lt;0.8,"A",IF($E1374-$C1374&lt;0.95,"B","C")))</f>
      </c>
    </row>
    <row r="1375">
      <c r="E1375" s="12">
        <f>IF(OR(NOT(ISNUMBER($C1375)),$A1376=""),"",$C1375+N($E1374))</f>
      </c>
      <c r="F1375" s="13">
        <f>IF(NOT(ISNUMBER($E1375)),"",IF($E1375-$C1375&lt;0.8,"A",IF($E1375-$C1375&lt;0.95,"B","C")))</f>
      </c>
    </row>
    <row r="1376">
      <c r="E1376" s="12">
        <f>IF(OR(NOT(ISNUMBER($C1376)),$A1377=""),"",$C1376+N($E1375))</f>
      </c>
      <c r="F1376" s="13">
        <f>IF(NOT(ISNUMBER($E1376)),"",IF($E1376-$C1376&lt;0.8,"A",IF($E1376-$C1376&lt;0.95,"B","C")))</f>
      </c>
    </row>
    <row r="1377">
      <c r="E1377" s="12">
        <f>IF(OR(NOT(ISNUMBER($C1377)),$A1378=""),"",$C1377+N($E1376))</f>
      </c>
      <c r="F1377" s="13">
        <f>IF(NOT(ISNUMBER($E1377)),"",IF($E1377-$C1377&lt;0.8,"A",IF($E1377-$C1377&lt;0.95,"B","C")))</f>
      </c>
    </row>
    <row r="1378">
      <c r="E1378" s="12">
        <f>IF(OR(NOT(ISNUMBER($C1378)),$A1379=""),"",$C1378+N($E1377))</f>
      </c>
      <c r="F1378" s="13">
        <f>IF(NOT(ISNUMBER($E1378)),"",IF($E1378-$C1378&lt;0.8,"A",IF($E1378-$C1378&lt;0.95,"B","C")))</f>
      </c>
    </row>
    <row r="1379">
      <c r="E1379" s="12">
        <f>IF(OR(NOT(ISNUMBER($C1379)),$A1380=""),"",$C1379+N($E1378))</f>
      </c>
      <c r="F1379" s="13">
        <f>IF(NOT(ISNUMBER($E1379)),"",IF($E1379-$C1379&lt;0.8,"A",IF($E1379-$C1379&lt;0.95,"B","C")))</f>
      </c>
    </row>
    <row r="1380">
      <c r="E1380" s="12">
        <f>IF(OR(NOT(ISNUMBER($C1380)),$A1381=""),"",$C1380+N($E1379))</f>
      </c>
      <c r="F1380" s="13">
        <f>IF(NOT(ISNUMBER($E1380)),"",IF($E1380-$C1380&lt;0.8,"A",IF($E1380-$C1380&lt;0.95,"B","C")))</f>
      </c>
    </row>
    <row r="1381">
      <c r="E1381" s="12">
        <f>IF(OR(NOT(ISNUMBER($C1381)),$A1382=""),"",$C1381+N($E1380))</f>
      </c>
      <c r="F1381" s="13">
        <f>IF(NOT(ISNUMBER($E1381)),"",IF($E1381-$C1381&lt;0.8,"A",IF($E1381-$C1381&lt;0.95,"B","C")))</f>
      </c>
    </row>
    <row r="1382">
      <c r="E1382" s="12">
        <f>IF(OR(NOT(ISNUMBER($C1382)),$A1383=""),"",$C1382+N($E1381))</f>
      </c>
      <c r="F1382" s="13">
        <f>IF(NOT(ISNUMBER($E1382)),"",IF($E1382-$C1382&lt;0.8,"A",IF($E1382-$C1382&lt;0.95,"B","C")))</f>
      </c>
    </row>
    <row r="1383">
      <c r="E1383" s="12">
        <f>IF(OR(NOT(ISNUMBER($C1383)),$A1384=""),"",$C1383+N($E1382))</f>
      </c>
      <c r="F1383" s="13">
        <f>IF(NOT(ISNUMBER($E1383)),"",IF($E1383-$C1383&lt;0.8,"A",IF($E1383-$C1383&lt;0.95,"B","C")))</f>
      </c>
    </row>
    <row r="1384">
      <c r="E1384" s="12">
        <f>IF(OR(NOT(ISNUMBER($C1384)),$A1385=""),"",$C1384+N($E1383))</f>
      </c>
      <c r="F1384" s="13">
        <f>IF(NOT(ISNUMBER($E1384)),"",IF($E1384-$C1384&lt;0.8,"A",IF($E1384-$C1384&lt;0.95,"B","C")))</f>
      </c>
    </row>
    <row r="1385">
      <c r="E1385" s="12">
        <f>IF(OR(NOT(ISNUMBER($C1385)),$A1386=""),"",$C1385+N($E1384))</f>
      </c>
      <c r="F1385" s="13">
        <f>IF(NOT(ISNUMBER($E1385)),"",IF($E1385-$C1385&lt;0.8,"A",IF($E1385-$C1385&lt;0.95,"B","C")))</f>
      </c>
    </row>
    <row r="1386">
      <c r="E1386" s="12">
        <f>IF(OR(NOT(ISNUMBER($C1386)),$A1387=""),"",$C1386+N($E1385))</f>
      </c>
      <c r="F1386" s="13">
        <f>IF(NOT(ISNUMBER($E1386)),"",IF($E1386-$C1386&lt;0.8,"A",IF($E1386-$C1386&lt;0.95,"B","C")))</f>
      </c>
    </row>
    <row r="1387">
      <c r="E1387" s="12">
        <f>IF(OR(NOT(ISNUMBER($C1387)),$A1388=""),"",$C1387+N($E1386))</f>
      </c>
      <c r="F1387" s="13">
        <f>IF(NOT(ISNUMBER($E1387)),"",IF($E1387-$C1387&lt;0.8,"A",IF($E1387-$C1387&lt;0.95,"B","C")))</f>
      </c>
    </row>
    <row r="1388">
      <c r="E1388" s="12">
        <f>IF(OR(NOT(ISNUMBER($C1388)),$A1389=""),"",$C1388+N($E1387))</f>
      </c>
      <c r="F1388" s="13">
        <f>IF(NOT(ISNUMBER($E1388)),"",IF($E1388-$C1388&lt;0.8,"A",IF($E1388-$C1388&lt;0.95,"B","C")))</f>
      </c>
    </row>
    <row r="1389">
      <c r="E1389" s="12">
        <f>IF(OR(NOT(ISNUMBER($C1389)),$A1390=""),"",$C1389+N($E1388))</f>
      </c>
      <c r="F1389" s="13">
        <f>IF(NOT(ISNUMBER($E1389)),"",IF($E1389-$C1389&lt;0.8,"A",IF($E1389-$C1389&lt;0.95,"B","C")))</f>
      </c>
    </row>
    <row r="1390">
      <c r="E1390" s="12">
        <f>IF(OR(NOT(ISNUMBER($C1390)),$A1391=""),"",$C1390+N($E1389))</f>
      </c>
      <c r="F1390" s="13">
        <f>IF(NOT(ISNUMBER($E1390)),"",IF($E1390-$C1390&lt;0.8,"A",IF($E1390-$C1390&lt;0.95,"B","C")))</f>
      </c>
    </row>
    <row r="1391">
      <c r="E1391" s="12">
        <f>IF(OR(NOT(ISNUMBER($C1391)),$A1392=""),"",$C1391+N($E1390))</f>
      </c>
      <c r="F1391" s="13">
        <f>IF(NOT(ISNUMBER($E1391)),"",IF($E1391-$C1391&lt;0.8,"A",IF($E1391-$C1391&lt;0.95,"B","C")))</f>
      </c>
    </row>
    <row r="1392">
      <c r="E1392" s="12">
        <f>IF(OR(NOT(ISNUMBER($C1392)),$A1393=""),"",$C1392+N($E1391))</f>
      </c>
      <c r="F1392" s="13">
        <f>IF(NOT(ISNUMBER($E1392)),"",IF($E1392-$C1392&lt;0.8,"A",IF($E1392-$C1392&lt;0.95,"B","C")))</f>
      </c>
    </row>
    <row r="1393">
      <c r="E1393" s="12">
        <f>IF(OR(NOT(ISNUMBER($C1393)),$A1394=""),"",$C1393+N($E1392))</f>
      </c>
      <c r="F1393" s="13">
        <f>IF(NOT(ISNUMBER($E1393)),"",IF($E1393-$C1393&lt;0.8,"A",IF($E1393-$C1393&lt;0.95,"B","C")))</f>
      </c>
    </row>
    <row r="1394">
      <c r="E1394" s="12">
        <f>IF(OR(NOT(ISNUMBER($C1394)),$A1395=""),"",$C1394+N($E1393))</f>
      </c>
      <c r="F1394" s="13">
        <f>IF(NOT(ISNUMBER($E1394)),"",IF($E1394-$C1394&lt;0.8,"A",IF($E1394-$C1394&lt;0.95,"B","C")))</f>
      </c>
    </row>
    <row r="1395">
      <c r="E1395" s="12">
        <f>IF(OR(NOT(ISNUMBER($C1395)),$A1396=""),"",$C1395+N($E1394))</f>
      </c>
      <c r="F1395" s="13">
        <f>IF(NOT(ISNUMBER($E1395)),"",IF($E1395-$C1395&lt;0.8,"A",IF($E1395-$C1395&lt;0.95,"B","C")))</f>
      </c>
    </row>
    <row r="1396">
      <c r="E1396" s="12">
        <f>IF(OR(NOT(ISNUMBER($C1396)),$A1397=""),"",$C1396+N($E1395))</f>
      </c>
      <c r="F1396" s="13">
        <f>IF(NOT(ISNUMBER($E1396)),"",IF($E1396-$C1396&lt;0.8,"A",IF($E1396-$C1396&lt;0.95,"B","C")))</f>
      </c>
    </row>
    <row r="1397">
      <c r="E1397" s="12">
        <f>IF(OR(NOT(ISNUMBER($C1397)),$A1398=""),"",$C1397+N($E1396))</f>
      </c>
      <c r="F1397" s="13">
        <f>IF(NOT(ISNUMBER($E1397)),"",IF($E1397-$C1397&lt;0.8,"A",IF($E1397-$C1397&lt;0.95,"B","C")))</f>
      </c>
    </row>
    <row r="1398">
      <c r="E1398" s="12">
        <f>IF(OR(NOT(ISNUMBER($C1398)),$A1399=""),"",$C1398+N($E1397))</f>
      </c>
      <c r="F1398" s="13">
        <f>IF(NOT(ISNUMBER($E1398)),"",IF($E1398-$C1398&lt;0.8,"A",IF($E1398-$C1398&lt;0.95,"B","C")))</f>
      </c>
    </row>
    <row r="1399">
      <c r="E1399" s="12">
        <f>IF(OR(NOT(ISNUMBER($C1399)),$A1400=""),"",$C1399+N($E1398))</f>
      </c>
      <c r="F1399" s="13">
        <f>IF(NOT(ISNUMBER($E1399)),"",IF($E1399-$C1399&lt;0.8,"A",IF($E1399-$C1399&lt;0.95,"B","C")))</f>
      </c>
    </row>
    <row r="1400">
      <c r="E1400" s="12">
        <f>IF(OR(NOT(ISNUMBER($C1400)),$A1401=""),"",$C1400+N($E1399))</f>
      </c>
      <c r="F1400" s="13">
        <f>IF(NOT(ISNUMBER($E1400)),"",IF($E1400-$C1400&lt;0.8,"A",IF($E1400-$C1400&lt;0.95,"B","C")))</f>
      </c>
    </row>
    <row r="1401">
      <c r="E1401" s="12">
        <f>IF(OR(NOT(ISNUMBER($C1401)),$A1402=""),"",$C1401+N($E1400))</f>
      </c>
      <c r="F1401" s="13">
        <f>IF(NOT(ISNUMBER($E1401)),"",IF($E1401-$C1401&lt;0.8,"A",IF($E1401-$C1401&lt;0.95,"B","C")))</f>
      </c>
    </row>
    <row r="1402">
      <c r="E1402" s="12">
        <f>IF(OR(NOT(ISNUMBER($C1402)),$A1403=""),"",$C1402+N($E1401))</f>
      </c>
      <c r="F1402" s="13">
        <f>IF(NOT(ISNUMBER($E1402)),"",IF($E1402-$C1402&lt;0.8,"A",IF($E1402-$C1402&lt;0.95,"B","C")))</f>
      </c>
    </row>
    <row r="1403">
      <c r="E1403" s="12">
        <f>IF(OR(NOT(ISNUMBER($C1403)),$A1404=""),"",$C1403+N($E1402))</f>
      </c>
      <c r="F1403" s="13">
        <f>IF(NOT(ISNUMBER($E1403)),"",IF($E1403-$C1403&lt;0.8,"A",IF($E1403-$C1403&lt;0.95,"B","C")))</f>
      </c>
    </row>
    <row r="1404">
      <c r="E1404" s="12">
        <f>IF(OR(NOT(ISNUMBER($C1404)),$A1405=""),"",$C1404+N($E1403))</f>
      </c>
      <c r="F1404" s="13">
        <f>IF(NOT(ISNUMBER($E1404)),"",IF($E1404-$C1404&lt;0.8,"A",IF($E1404-$C1404&lt;0.95,"B","C")))</f>
      </c>
    </row>
    <row r="1405">
      <c r="E1405" s="12">
        <f>IF(OR(NOT(ISNUMBER($C1405)),$A1406=""),"",$C1405+N($E1404))</f>
      </c>
      <c r="F1405" s="13">
        <f>IF(NOT(ISNUMBER($E1405)),"",IF($E1405-$C1405&lt;0.8,"A",IF($E1405-$C1405&lt;0.95,"B","C")))</f>
      </c>
    </row>
    <row r="1406">
      <c r="E1406" s="12">
        <f>IF(OR(NOT(ISNUMBER($C1406)),$A1407=""),"",$C1406+N($E1405))</f>
      </c>
      <c r="F1406" s="13">
        <f>IF(NOT(ISNUMBER($E1406)),"",IF($E1406-$C1406&lt;0.8,"A",IF($E1406-$C1406&lt;0.95,"B","C")))</f>
      </c>
    </row>
    <row r="1407">
      <c r="E1407" s="12">
        <f>IF(OR(NOT(ISNUMBER($C1407)),$A1408=""),"",$C1407+N($E1406))</f>
      </c>
      <c r="F1407" s="13">
        <f>IF(NOT(ISNUMBER($E1407)),"",IF($E1407-$C1407&lt;0.8,"A",IF($E1407-$C1407&lt;0.95,"B","C")))</f>
      </c>
    </row>
    <row r="1408">
      <c r="E1408" s="12">
        <f>IF(OR(NOT(ISNUMBER($C1408)),$A1409=""),"",$C1408+N($E1407))</f>
      </c>
      <c r="F1408" s="13">
        <f>IF(NOT(ISNUMBER($E1408)),"",IF($E1408-$C1408&lt;0.8,"A",IF($E1408-$C1408&lt;0.95,"B","C")))</f>
      </c>
    </row>
    <row r="1409">
      <c r="E1409" s="12">
        <f>IF(OR(NOT(ISNUMBER($C1409)),$A1410=""),"",$C1409+N($E1408))</f>
      </c>
      <c r="F1409" s="13">
        <f>IF(NOT(ISNUMBER($E1409)),"",IF($E1409-$C1409&lt;0.8,"A",IF($E1409-$C1409&lt;0.95,"B","C")))</f>
      </c>
    </row>
    <row r="1410">
      <c r="E1410" s="12">
        <f>IF(OR(NOT(ISNUMBER($C1410)),$A1411=""),"",$C1410+N($E1409))</f>
      </c>
      <c r="F1410" s="13">
        <f>IF(NOT(ISNUMBER($E1410)),"",IF($E1410-$C1410&lt;0.8,"A",IF($E1410-$C1410&lt;0.95,"B","C")))</f>
      </c>
    </row>
    <row r="1411">
      <c r="E1411" s="12">
        <f>IF(OR(NOT(ISNUMBER($C1411)),$A1412=""),"",$C1411+N($E1410))</f>
      </c>
      <c r="F1411" s="13">
        <f>IF(NOT(ISNUMBER($E1411)),"",IF($E1411-$C1411&lt;0.8,"A",IF($E1411-$C1411&lt;0.95,"B","C")))</f>
      </c>
    </row>
    <row r="1412">
      <c r="E1412" s="12">
        <f>IF(OR(NOT(ISNUMBER($C1412)),$A1413=""),"",$C1412+N($E1411))</f>
      </c>
      <c r="F1412" s="13">
        <f>IF(NOT(ISNUMBER($E1412)),"",IF($E1412-$C1412&lt;0.8,"A",IF($E1412-$C1412&lt;0.95,"B","C")))</f>
      </c>
    </row>
    <row r="1413">
      <c r="E1413" s="12">
        <f>IF(OR(NOT(ISNUMBER($C1413)),$A1414=""),"",$C1413+N($E1412))</f>
      </c>
      <c r="F1413" s="13">
        <f>IF(NOT(ISNUMBER($E1413)),"",IF($E1413-$C1413&lt;0.8,"A",IF($E1413-$C1413&lt;0.95,"B","C")))</f>
      </c>
    </row>
    <row r="1414">
      <c r="E1414" s="12">
        <f>IF(OR(NOT(ISNUMBER($C1414)),$A1415=""),"",$C1414+N($E1413))</f>
      </c>
      <c r="F1414" s="13">
        <f>IF(NOT(ISNUMBER($E1414)),"",IF($E1414-$C1414&lt;0.8,"A",IF($E1414-$C1414&lt;0.95,"B","C")))</f>
      </c>
    </row>
    <row r="1415">
      <c r="E1415" s="12">
        <f>IF(OR(NOT(ISNUMBER($C1415)),$A1416=""),"",$C1415+N($E1414))</f>
      </c>
      <c r="F1415" s="13">
        <f>IF(NOT(ISNUMBER($E1415)),"",IF($E1415-$C1415&lt;0.8,"A",IF($E1415-$C1415&lt;0.95,"B","C")))</f>
      </c>
    </row>
    <row r="1416">
      <c r="E1416" s="12">
        <f>IF(OR(NOT(ISNUMBER($C1416)),$A1417=""),"",$C1416+N($E1415))</f>
      </c>
      <c r="F1416" s="13">
        <f>IF(NOT(ISNUMBER($E1416)),"",IF($E1416-$C1416&lt;0.8,"A",IF($E1416-$C1416&lt;0.95,"B","C")))</f>
      </c>
    </row>
    <row r="1417">
      <c r="E1417" s="12">
        <f>IF(OR(NOT(ISNUMBER($C1417)),$A1418=""),"",$C1417+N($E1416))</f>
      </c>
      <c r="F1417" s="13">
        <f>IF(NOT(ISNUMBER($E1417)),"",IF($E1417-$C1417&lt;0.8,"A",IF($E1417-$C1417&lt;0.95,"B","C")))</f>
      </c>
    </row>
    <row r="1418">
      <c r="E1418" s="12">
        <f>IF(OR(NOT(ISNUMBER($C1418)),$A1419=""),"",$C1418+N($E1417))</f>
      </c>
      <c r="F1418" s="13">
        <f>IF(NOT(ISNUMBER($E1418)),"",IF($E1418-$C1418&lt;0.8,"A",IF($E1418-$C1418&lt;0.95,"B","C")))</f>
      </c>
    </row>
    <row r="1419">
      <c r="E1419" s="12">
        <f>IF(OR(NOT(ISNUMBER($C1419)),$A1420=""),"",$C1419+N($E1418))</f>
      </c>
      <c r="F1419" s="13">
        <f>IF(NOT(ISNUMBER($E1419)),"",IF($E1419-$C1419&lt;0.8,"A",IF($E1419-$C1419&lt;0.95,"B","C")))</f>
      </c>
    </row>
    <row r="1420">
      <c r="E1420" s="12">
        <f>IF(OR(NOT(ISNUMBER($C1420)),$A1421=""),"",$C1420+N($E1419))</f>
      </c>
      <c r="F1420" s="13">
        <f>IF(NOT(ISNUMBER($E1420)),"",IF($E1420-$C1420&lt;0.8,"A",IF($E1420-$C1420&lt;0.95,"B","C")))</f>
      </c>
    </row>
    <row r="1421">
      <c r="E1421" s="12">
        <f>IF(OR(NOT(ISNUMBER($C1421)),$A1422=""),"",$C1421+N($E1420))</f>
      </c>
      <c r="F1421" s="13">
        <f>IF(NOT(ISNUMBER($E1421)),"",IF($E1421-$C1421&lt;0.8,"A",IF($E1421-$C1421&lt;0.95,"B","C")))</f>
      </c>
    </row>
    <row r="1422">
      <c r="E1422" s="12">
        <f>IF(OR(NOT(ISNUMBER($C1422)),$A1423=""),"",$C1422+N($E1421))</f>
      </c>
      <c r="F1422" s="13">
        <f>IF(NOT(ISNUMBER($E1422)),"",IF($E1422-$C1422&lt;0.8,"A",IF($E1422-$C1422&lt;0.95,"B","C")))</f>
      </c>
    </row>
    <row r="1423">
      <c r="E1423" s="12">
        <f>IF(OR(NOT(ISNUMBER($C1423)),$A1424=""),"",$C1423+N($E1422))</f>
      </c>
      <c r="F1423" s="13">
        <f>IF(NOT(ISNUMBER($E1423)),"",IF($E1423-$C1423&lt;0.8,"A",IF($E1423-$C1423&lt;0.95,"B","C")))</f>
      </c>
    </row>
    <row r="1424">
      <c r="E1424" s="12">
        <f>IF(OR(NOT(ISNUMBER($C1424)),$A1425=""),"",$C1424+N($E1423))</f>
      </c>
      <c r="F1424" s="13">
        <f>IF(NOT(ISNUMBER($E1424)),"",IF($E1424-$C1424&lt;0.8,"A",IF($E1424-$C1424&lt;0.95,"B","C")))</f>
      </c>
    </row>
    <row r="1425">
      <c r="E1425" s="12">
        <f>IF(OR(NOT(ISNUMBER($C1425)),$A1426=""),"",$C1425+N($E1424))</f>
      </c>
      <c r="F1425" s="13">
        <f>IF(NOT(ISNUMBER($E1425)),"",IF($E1425-$C1425&lt;0.8,"A",IF($E1425-$C1425&lt;0.95,"B","C")))</f>
      </c>
    </row>
    <row r="1426">
      <c r="E1426" s="12">
        <f>IF(OR(NOT(ISNUMBER($C1426)),$A1427=""),"",$C1426+N($E1425))</f>
      </c>
      <c r="F1426" s="13">
        <f>IF(NOT(ISNUMBER($E1426)),"",IF($E1426-$C1426&lt;0.8,"A",IF($E1426-$C1426&lt;0.95,"B","C")))</f>
      </c>
    </row>
    <row r="1427">
      <c r="E1427" s="12">
        <f>IF(OR(NOT(ISNUMBER($C1427)),$A1428=""),"",$C1427+N($E1426))</f>
      </c>
      <c r="F1427" s="13">
        <f>IF(NOT(ISNUMBER($E1427)),"",IF($E1427-$C1427&lt;0.8,"A",IF($E1427-$C1427&lt;0.95,"B","C")))</f>
      </c>
    </row>
    <row r="1428">
      <c r="E1428" s="12">
        <f>IF(OR(NOT(ISNUMBER($C1428)),$A1429=""),"",$C1428+N($E1427))</f>
      </c>
      <c r="F1428" s="13">
        <f>IF(NOT(ISNUMBER($E1428)),"",IF($E1428-$C1428&lt;0.8,"A",IF($E1428-$C1428&lt;0.95,"B","C")))</f>
      </c>
    </row>
    <row r="1429">
      <c r="E1429" s="12">
        <f>IF(OR(NOT(ISNUMBER($C1429)),$A1430=""),"",$C1429+N($E1428))</f>
      </c>
      <c r="F1429" s="13">
        <f>IF(NOT(ISNUMBER($E1429)),"",IF($E1429-$C1429&lt;0.8,"A",IF($E1429-$C1429&lt;0.95,"B","C")))</f>
      </c>
    </row>
    <row r="1430">
      <c r="E1430" s="12">
        <f>IF(OR(NOT(ISNUMBER($C1430)),$A1431=""),"",$C1430+N($E1429))</f>
      </c>
      <c r="F1430" s="13">
        <f>IF(NOT(ISNUMBER($E1430)),"",IF($E1430-$C1430&lt;0.8,"A",IF($E1430-$C1430&lt;0.95,"B","C")))</f>
      </c>
    </row>
    <row r="1431">
      <c r="E1431" s="12">
        <f>IF(OR(NOT(ISNUMBER($C1431)),$A1432=""),"",$C1431+N($E1430))</f>
      </c>
      <c r="F1431" s="13">
        <f>IF(NOT(ISNUMBER($E1431)),"",IF($E1431-$C1431&lt;0.8,"A",IF($E1431-$C1431&lt;0.95,"B","C")))</f>
      </c>
    </row>
    <row r="1432">
      <c r="E1432" s="12">
        <f>IF(OR(NOT(ISNUMBER($C1432)),$A1433=""),"",$C1432+N($E1431))</f>
      </c>
      <c r="F1432" s="13">
        <f>IF(NOT(ISNUMBER($E1432)),"",IF($E1432-$C1432&lt;0.8,"A",IF($E1432-$C1432&lt;0.95,"B","C")))</f>
      </c>
    </row>
    <row r="1433">
      <c r="E1433" s="12">
        <f>IF(OR(NOT(ISNUMBER($C1433)),$A1434=""),"",$C1433+N($E1432))</f>
      </c>
      <c r="F1433" s="13">
        <f>IF(NOT(ISNUMBER($E1433)),"",IF($E1433-$C1433&lt;0.8,"A",IF($E1433-$C1433&lt;0.95,"B","C")))</f>
      </c>
    </row>
    <row r="1434">
      <c r="E1434" s="12">
        <f>IF(OR(NOT(ISNUMBER($C1434)),$A1435=""),"",$C1434+N($E1433))</f>
      </c>
      <c r="F1434" s="13">
        <f>IF(NOT(ISNUMBER($E1434)),"",IF($E1434-$C1434&lt;0.8,"A",IF($E1434-$C1434&lt;0.95,"B","C")))</f>
      </c>
    </row>
    <row r="1435">
      <c r="E1435" s="12">
        <f>IF(OR(NOT(ISNUMBER($C1435)),$A1436=""),"",$C1435+N($E1434))</f>
      </c>
      <c r="F1435" s="13">
        <f>IF(NOT(ISNUMBER($E1435)),"",IF($E1435-$C1435&lt;0.8,"A",IF($E1435-$C1435&lt;0.95,"B","C")))</f>
      </c>
    </row>
    <row r="1436">
      <c r="E1436" s="12">
        <f>IF(OR(NOT(ISNUMBER($C1436)),$A1437=""),"",$C1436+N($E1435))</f>
      </c>
      <c r="F1436" s="13">
        <f>IF(NOT(ISNUMBER($E1436)),"",IF($E1436-$C1436&lt;0.8,"A",IF($E1436-$C1436&lt;0.95,"B","C")))</f>
      </c>
    </row>
    <row r="1437">
      <c r="E1437" s="12">
        <f>IF(OR(NOT(ISNUMBER($C1437)),$A1438=""),"",$C1437+N($E1436))</f>
      </c>
      <c r="F1437" s="13">
        <f>IF(NOT(ISNUMBER($E1437)),"",IF($E1437-$C1437&lt;0.8,"A",IF($E1437-$C1437&lt;0.95,"B","C")))</f>
      </c>
    </row>
    <row r="1438">
      <c r="E1438" s="12">
        <f>IF(OR(NOT(ISNUMBER($C1438)),$A1439=""),"",$C1438+N($E1437))</f>
      </c>
      <c r="F1438" s="13">
        <f>IF(NOT(ISNUMBER($E1438)),"",IF($E1438-$C1438&lt;0.8,"A",IF($E1438-$C1438&lt;0.95,"B","C")))</f>
      </c>
    </row>
    <row r="1439">
      <c r="E1439" s="12">
        <f>IF(OR(NOT(ISNUMBER($C1439)),$A1440=""),"",$C1439+N($E1438))</f>
      </c>
      <c r="F1439" s="13">
        <f>IF(NOT(ISNUMBER($E1439)),"",IF($E1439-$C1439&lt;0.8,"A",IF($E1439-$C1439&lt;0.95,"B","C")))</f>
      </c>
    </row>
    <row r="1440">
      <c r="E1440" s="12">
        <f>IF(OR(NOT(ISNUMBER($C1440)),$A1441=""),"",$C1440+N($E1439))</f>
      </c>
      <c r="F1440" s="13">
        <f>IF(NOT(ISNUMBER($E1440)),"",IF($E1440-$C1440&lt;0.8,"A",IF($E1440-$C1440&lt;0.95,"B","C")))</f>
      </c>
    </row>
    <row r="1441">
      <c r="E1441" s="12">
        <f>IF(OR(NOT(ISNUMBER($C1441)),$A1442=""),"",$C1441+N($E1440))</f>
      </c>
      <c r="F1441" s="13">
        <f>IF(NOT(ISNUMBER($E1441)),"",IF($E1441-$C1441&lt;0.8,"A",IF($E1441-$C1441&lt;0.95,"B","C")))</f>
      </c>
    </row>
    <row r="1442">
      <c r="E1442" s="12">
        <f>IF(OR(NOT(ISNUMBER($C1442)),$A1443=""),"",$C1442+N($E1441))</f>
      </c>
      <c r="F1442" s="13">
        <f>IF(NOT(ISNUMBER($E1442)),"",IF($E1442-$C1442&lt;0.8,"A",IF($E1442-$C1442&lt;0.95,"B","C")))</f>
      </c>
    </row>
    <row r="1443">
      <c r="E1443" s="12">
        <f>IF(OR(NOT(ISNUMBER($C1443)),$A1444=""),"",$C1443+N($E1442))</f>
      </c>
      <c r="F1443" s="13">
        <f>IF(NOT(ISNUMBER($E1443)),"",IF($E1443-$C1443&lt;0.8,"A",IF($E1443-$C1443&lt;0.95,"B","C")))</f>
      </c>
    </row>
    <row r="1444">
      <c r="E1444" s="12">
        <f>IF(OR(NOT(ISNUMBER($C1444)),$A1445=""),"",$C1444+N($E1443))</f>
      </c>
      <c r="F1444" s="13">
        <f>IF(NOT(ISNUMBER($E1444)),"",IF($E1444-$C1444&lt;0.8,"A",IF($E1444-$C1444&lt;0.95,"B","C")))</f>
      </c>
    </row>
    <row r="1445">
      <c r="E1445" s="12">
        <f>IF(OR(NOT(ISNUMBER($C1445)),$A1446=""),"",$C1445+N($E1444))</f>
      </c>
      <c r="F1445" s="13">
        <f>IF(NOT(ISNUMBER($E1445)),"",IF($E1445-$C1445&lt;0.8,"A",IF($E1445-$C1445&lt;0.95,"B","C")))</f>
      </c>
    </row>
    <row r="1446">
      <c r="E1446" s="12">
        <f>IF(OR(NOT(ISNUMBER($C1446)),$A1447=""),"",$C1446+N($E1445))</f>
      </c>
      <c r="F1446" s="13">
        <f>IF(NOT(ISNUMBER($E1446)),"",IF($E1446-$C1446&lt;0.8,"A",IF($E1446-$C1446&lt;0.95,"B","C")))</f>
      </c>
    </row>
    <row r="1447">
      <c r="E1447" s="12">
        <f>IF(OR(NOT(ISNUMBER($C1447)),$A1448=""),"",$C1447+N($E1446))</f>
      </c>
      <c r="F1447" s="13">
        <f>IF(NOT(ISNUMBER($E1447)),"",IF($E1447-$C1447&lt;0.8,"A",IF($E1447-$C1447&lt;0.95,"B","C")))</f>
      </c>
    </row>
    <row r="1448">
      <c r="E1448" s="12">
        <f>IF(OR(NOT(ISNUMBER($C1448)),$A1449=""),"",$C1448+N($E1447))</f>
      </c>
      <c r="F1448" s="13">
        <f>IF(NOT(ISNUMBER($E1448)),"",IF($E1448-$C1448&lt;0.8,"A",IF($E1448-$C1448&lt;0.95,"B","C")))</f>
      </c>
    </row>
    <row r="1449">
      <c r="E1449" s="12">
        <f>IF(OR(NOT(ISNUMBER($C1449)),$A1450=""),"",$C1449+N($E1448))</f>
      </c>
      <c r="F1449" s="13">
        <f>IF(NOT(ISNUMBER($E1449)),"",IF($E1449-$C1449&lt;0.8,"A",IF($E1449-$C1449&lt;0.95,"B","C")))</f>
      </c>
    </row>
    <row r="1450">
      <c r="E1450" s="12">
        <f>IF(OR(NOT(ISNUMBER($C1450)),$A1451=""),"",$C1450+N($E1449))</f>
      </c>
      <c r="F1450" s="13">
        <f>IF(NOT(ISNUMBER($E1450)),"",IF($E1450-$C1450&lt;0.8,"A",IF($E1450-$C1450&lt;0.95,"B","C")))</f>
      </c>
    </row>
    <row r="1451">
      <c r="E1451" s="12">
        <f>IF(OR(NOT(ISNUMBER($C1451)),$A1452=""),"",$C1451+N($E1450))</f>
      </c>
      <c r="F1451" s="13">
        <f>IF(NOT(ISNUMBER($E1451)),"",IF($E1451-$C1451&lt;0.8,"A",IF($E1451-$C1451&lt;0.95,"B","C")))</f>
      </c>
    </row>
    <row r="1452">
      <c r="E1452" s="12">
        <f>IF(OR(NOT(ISNUMBER($C1452)),$A1453=""),"",$C1452+N($E1451))</f>
      </c>
      <c r="F1452" s="13">
        <f>IF(NOT(ISNUMBER($E1452)),"",IF($E1452-$C1452&lt;0.8,"A",IF($E1452-$C1452&lt;0.95,"B","C")))</f>
      </c>
    </row>
    <row r="1453">
      <c r="E1453" s="12">
        <f>IF(OR(NOT(ISNUMBER($C1453)),$A1454=""),"",$C1453+N($E1452))</f>
      </c>
      <c r="F1453" s="13">
        <f>IF(NOT(ISNUMBER($E1453)),"",IF($E1453-$C1453&lt;0.8,"A",IF($E1453-$C1453&lt;0.95,"B","C")))</f>
      </c>
    </row>
    <row r="1454">
      <c r="E1454" s="12">
        <f>IF(OR(NOT(ISNUMBER($C1454)),$A1455=""),"",$C1454+N($E1453))</f>
      </c>
      <c r="F1454" s="13">
        <f>IF(NOT(ISNUMBER($E1454)),"",IF($E1454-$C1454&lt;0.8,"A",IF($E1454-$C1454&lt;0.95,"B","C")))</f>
      </c>
    </row>
    <row r="1455">
      <c r="E1455" s="12">
        <f>IF(OR(NOT(ISNUMBER($C1455)),$A1456=""),"",$C1455+N($E1454))</f>
      </c>
      <c r="F1455" s="13">
        <f>IF(NOT(ISNUMBER($E1455)),"",IF($E1455-$C1455&lt;0.8,"A",IF($E1455-$C1455&lt;0.95,"B","C")))</f>
      </c>
    </row>
    <row r="1456">
      <c r="E1456" s="12">
        <f>IF(OR(NOT(ISNUMBER($C1456)),$A1457=""),"",$C1456+N($E1455))</f>
      </c>
      <c r="F1456" s="13">
        <f>IF(NOT(ISNUMBER($E1456)),"",IF($E1456-$C1456&lt;0.8,"A",IF($E1456-$C1456&lt;0.95,"B","C")))</f>
      </c>
    </row>
    <row r="1457">
      <c r="E1457" s="12">
        <f>IF(OR(NOT(ISNUMBER($C1457)),$A1458=""),"",$C1457+N($E1456))</f>
      </c>
      <c r="F1457" s="13">
        <f>IF(NOT(ISNUMBER($E1457)),"",IF($E1457-$C1457&lt;0.8,"A",IF($E1457-$C1457&lt;0.95,"B","C")))</f>
      </c>
    </row>
    <row r="1458">
      <c r="E1458" s="12">
        <f>IF(OR(NOT(ISNUMBER($C1458)),$A1459=""),"",$C1458+N($E1457))</f>
      </c>
      <c r="F1458" s="13">
        <f>IF(NOT(ISNUMBER($E1458)),"",IF($E1458-$C1458&lt;0.8,"A",IF($E1458-$C1458&lt;0.95,"B","C")))</f>
      </c>
    </row>
    <row r="1459">
      <c r="E1459" s="12">
        <f>IF(OR(NOT(ISNUMBER($C1459)),$A1460=""),"",$C1459+N($E1458))</f>
      </c>
      <c r="F1459" s="13">
        <f>IF(NOT(ISNUMBER($E1459)),"",IF($E1459-$C1459&lt;0.8,"A",IF($E1459-$C1459&lt;0.95,"B","C")))</f>
      </c>
    </row>
    <row r="1460">
      <c r="E1460" s="12">
        <f>IF(OR(NOT(ISNUMBER($C1460)),$A1461=""),"",$C1460+N($E1459))</f>
      </c>
      <c r="F1460" s="13">
        <f>IF(NOT(ISNUMBER($E1460)),"",IF($E1460-$C1460&lt;0.8,"A",IF($E1460-$C1460&lt;0.95,"B","C")))</f>
      </c>
    </row>
    <row r="1461">
      <c r="E1461" s="12">
        <f>IF(OR(NOT(ISNUMBER($C1461)),$A1462=""),"",$C1461+N($E1460))</f>
      </c>
      <c r="F1461" s="13">
        <f>IF(NOT(ISNUMBER($E1461)),"",IF($E1461-$C1461&lt;0.8,"A",IF($E1461-$C1461&lt;0.95,"B","C")))</f>
      </c>
    </row>
    <row r="1462">
      <c r="E1462" s="12">
        <f>IF(OR(NOT(ISNUMBER($C1462)),$A1463=""),"",$C1462+N($E1461))</f>
      </c>
      <c r="F1462" s="13">
        <f>IF(NOT(ISNUMBER($E1462)),"",IF($E1462-$C1462&lt;0.8,"A",IF($E1462-$C1462&lt;0.95,"B","C")))</f>
      </c>
    </row>
    <row r="1463">
      <c r="E1463" s="12">
        <f>IF(OR(NOT(ISNUMBER($C1463)),$A1464=""),"",$C1463+N($E1462))</f>
      </c>
      <c r="F1463" s="13">
        <f>IF(NOT(ISNUMBER($E1463)),"",IF($E1463-$C1463&lt;0.8,"A",IF($E1463-$C1463&lt;0.95,"B","C")))</f>
      </c>
    </row>
    <row r="1464">
      <c r="E1464" s="12">
        <f>IF(OR(NOT(ISNUMBER($C1464)),$A1465=""),"",$C1464+N($E1463))</f>
      </c>
      <c r="F1464" s="13">
        <f>IF(NOT(ISNUMBER($E1464)),"",IF($E1464-$C1464&lt;0.8,"A",IF($E1464-$C1464&lt;0.95,"B","C")))</f>
      </c>
    </row>
    <row r="1465">
      <c r="E1465" s="12">
        <f>IF(OR(NOT(ISNUMBER($C1465)),$A1466=""),"",$C1465+N($E1464))</f>
      </c>
      <c r="F1465" s="13">
        <f>IF(NOT(ISNUMBER($E1465)),"",IF($E1465-$C1465&lt;0.8,"A",IF($E1465-$C1465&lt;0.95,"B","C")))</f>
      </c>
    </row>
    <row r="1466">
      <c r="E1466" s="12">
        <f>IF(OR(NOT(ISNUMBER($C1466)),$A1467=""),"",$C1466+N($E1465))</f>
      </c>
      <c r="F1466" s="13">
        <f>IF(NOT(ISNUMBER($E1466)),"",IF($E1466-$C1466&lt;0.8,"A",IF($E1466-$C1466&lt;0.95,"B","C")))</f>
      </c>
    </row>
    <row r="1467">
      <c r="E1467" s="12">
        <f>IF(OR(NOT(ISNUMBER($C1467)),$A1468=""),"",$C1467+N($E1466))</f>
      </c>
      <c r="F1467" s="13">
        <f>IF(NOT(ISNUMBER($E1467)),"",IF($E1467-$C1467&lt;0.8,"A",IF($E1467-$C1467&lt;0.95,"B","C")))</f>
      </c>
    </row>
    <row r="1468">
      <c r="E1468" s="12">
        <f>IF(OR(NOT(ISNUMBER($C1468)),$A1469=""),"",$C1468+N($E1467))</f>
      </c>
      <c r="F1468" s="13">
        <f>IF(NOT(ISNUMBER($E1468)),"",IF($E1468-$C1468&lt;0.8,"A",IF($E1468-$C1468&lt;0.95,"B","C")))</f>
      </c>
    </row>
    <row r="1469">
      <c r="E1469" s="12">
        <f>IF(OR(NOT(ISNUMBER($C1469)),$A1470=""),"",$C1469+N($E1468))</f>
      </c>
      <c r="F1469" s="13">
        <f>IF(NOT(ISNUMBER($E1469)),"",IF($E1469-$C1469&lt;0.8,"A",IF($E1469-$C1469&lt;0.95,"B","C")))</f>
      </c>
    </row>
    <row r="1470">
      <c r="E1470" s="12">
        <f>IF(OR(NOT(ISNUMBER($C1470)),$A1471=""),"",$C1470+N($E1469))</f>
      </c>
      <c r="F1470" s="13">
        <f>IF(NOT(ISNUMBER($E1470)),"",IF($E1470-$C1470&lt;0.8,"A",IF($E1470-$C1470&lt;0.95,"B","C")))</f>
      </c>
    </row>
    <row r="1471">
      <c r="E1471" s="12">
        <f>IF(OR(NOT(ISNUMBER($C1471)),$A1472=""),"",$C1471+N($E1470))</f>
      </c>
      <c r="F1471" s="13">
        <f>IF(NOT(ISNUMBER($E1471)),"",IF($E1471-$C1471&lt;0.8,"A",IF($E1471-$C1471&lt;0.95,"B","C")))</f>
      </c>
    </row>
    <row r="1472">
      <c r="E1472" s="12">
        <f>IF(OR(NOT(ISNUMBER($C1472)),$A1473=""),"",$C1472+N($E1471))</f>
      </c>
      <c r="F1472" s="13">
        <f>IF(NOT(ISNUMBER($E1472)),"",IF($E1472-$C1472&lt;0.8,"A",IF($E1472-$C1472&lt;0.95,"B","C")))</f>
      </c>
    </row>
    <row r="1473">
      <c r="E1473" s="12">
        <f>IF(OR(NOT(ISNUMBER($C1473)),$A1474=""),"",$C1473+N($E1472))</f>
      </c>
      <c r="F1473" s="13">
        <f>IF(NOT(ISNUMBER($E1473)),"",IF($E1473-$C1473&lt;0.8,"A",IF($E1473-$C1473&lt;0.95,"B","C")))</f>
      </c>
    </row>
    <row r="1474">
      <c r="E1474" s="12">
        <f>IF(OR(NOT(ISNUMBER($C1474)),$A1475=""),"",$C1474+N($E1473))</f>
      </c>
      <c r="F1474" s="13">
        <f>IF(NOT(ISNUMBER($E1474)),"",IF($E1474-$C1474&lt;0.8,"A",IF($E1474-$C1474&lt;0.95,"B","C")))</f>
      </c>
    </row>
    <row r="1475">
      <c r="E1475" s="12">
        <f>IF(OR(NOT(ISNUMBER($C1475)),$A1476=""),"",$C1475+N($E1474))</f>
      </c>
      <c r="F1475" s="13">
        <f>IF(NOT(ISNUMBER($E1475)),"",IF($E1475-$C1475&lt;0.8,"A",IF($E1475-$C1475&lt;0.95,"B","C")))</f>
      </c>
    </row>
    <row r="1476">
      <c r="E1476" s="12">
        <f>IF(OR(NOT(ISNUMBER($C1476)),$A1477=""),"",$C1476+N($E1475))</f>
      </c>
      <c r="F1476" s="13">
        <f>IF(NOT(ISNUMBER($E1476)),"",IF($E1476-$C1476&lt;0.8,"A",IF($E1476-$C1476&lt;0.95,"B","C")))</f>
      </c>
    </row>
    <row r="1477">
      <c r="E1477" s="12">
        <f>IF(OR(NOT(ISNUMBER($C1477)),$A1478=""),"",$C1477+N($E1476))</f>
      </c>
      <c r="F1477" s="13">
        <f>IF(NOT(ISNUMBER($E1477)),"",IF($E1477-$C1477&lt;0.8,"A",IF($E1477-$C1477&lt;0.95,"B","C")))</f>
      </c>
    </row>
    <row r="1478">
      <c r="E1478" s="12">
        <f>IF(OR(NOT(ISNUMBER($C1478)),$A1479=""),"",$C1478+N($E1477))</f>
      </c>
      <c r="F1478" s="13">
        <f>IF(NOT(ISNUMBER($E1478)),"",IF($E1478-$C1478&lt;0.8,"A",IF($E1478-$C1478&lt;0.95,"B","C")))</f>
      </c>
    </row>
    <row r="1479">
      <c r="E1479" s="12">
        <f>IF(OR(NOT(ISNUMBER($C1479)),$A1480=""),"",$C1479+N($E1478))</f>
      </c>
      <c r="F1479" s="13">
        <f>IF(NOT(ISNUMBER($E1479)),"",IF($E1479-$C1479&lt;0.8,"A",IF($E1479-$C1479&lt;0.95,"B","C")))</f>
      </c>
    </row>
    <row r="1480">
      <c r="E1480" s="12">
        <f>IF(OR(NOT(ISNUMBER($C1480)),$A1481=""),"",$C1480+N($E1479))</f>
      </c>
      <c r="F1480" s="13">
        <f>IF(NOT(ISNUMBER($E1480)),"",IF($E1480-$C1480&lt;0.8,"A",IF($E1480-$C1480&lt;0.95,"B","C")))</f>
      </c>
    </row>
    <row r="1481">
      <c r="E1481" s="12">
        <f>IF(OR(NOT(ISNUMBER($C1481)),$A1482=""),"",$C1481+N($E1480))</f>
      </c>
      <c r="F1481" s="13">
        <f>IF(NOT(ISNUMBER($E1481)),"",IF($E1481-$C1481&lt;0.8,"A",IF($E1481-$C1481&lt;0.95,"B","C")))</f>
      </c>
    </row>
    <row r="1482">
      <c r="E1482" s="12">
        <f>IF(OR(NOT(ISNUMBER($C1482)),$A1483=""),"",$C1482+N($E1481))</f>
      </c>
      <c r="F1482" s="13">
        <f>IF(NOT(ISNUMBER($E1482)),"",IF($E1482-$C1482&lt;0.8,"A",IF($E1482-$C1482&lt;0.95,"B","C")))</f>
      </c>
    </row>
    <row r="1483">
      <c r="E1483" s="12">
        <f>IF(OR(NOT(ISNUMBER($C1483)),$A1484=""),"",$C1483+N($E1482))</f>
      </c>
      <c r="F1483" s="13">
        <f>IF(NOT(ISNUMBER($E1483)),"",IF($E1483-$C1483&lt;0.8,"A",IF($E1483-$C1483&lt;0.95,"B","C")))</f>
      </c>
    </row>
    <row r="1484">
      <c r="E1484" s="12">
        <f>IF(OR(NOT(ISNUMBER($C1484)),$A1485=""),"",$C1484+N($E1483))</f>
      </c>
      <c r="F1484" s="13">
        <f>IF(NOT(ISNUMBER($E1484)),"",IF($E1484-$C1484&lt;0.8,"A",IF($E1484-$C1484&lt;0.95,"B","C")))</f>
      </c>
    </row>
    <row r="1485">
      <c r="E1485" s="12">
        <f>IF(OR(NOT(ISNUMBER($C1485)),$A1486=""),"",$C1485+N($E1484))</f>
      </c>
      <c r="F1485" s="13">
        <f>IF(NOT(ISNUMBER($E1485)),"",IF($E1485-$C1485&lt;0.8,"A",IF($E1485-$C1485&lt;0.95,"B","C")))</f>
      </c>
    </row>
    <row r="1486">
      <c r="E1486" s="12">
        <f>IF(OR(NOT(ISNUMBER($C1486)),$A1487=""),"",$C1486+N($E1485))</f>
      </c>
      <c r="F1486" s="13">
        <f>IF(NOT(ISNUMBER($E1486)),"",IF($E1486-$C1486&lt;0.8,"A",IF($E1486-$C1486&lt;0.95,"B","C")))</f>
      </c>
    </row>
    <row r="1487">
      <c r="E1487" s="12">
        <f>IF(OR(NOT(ISNUMBER($C1487)),$A1488=""),"",$C1487+N($E1486))</f>
      </c>
      <c r="F1487" s="13">
        <f>IF(NOT(ISNUMBER($E1487)),"",IF($E1487-$C1487&lt;0.8,"A",IF($E1487-$C1487&lt;0.95,"B","C")))</f>
      </c>
    </row>
    <row r="1488">
      <c r="E1488" s="12">
        <f>IF(OR(NOT(ISNUMBER($C1488)),$A1489=""),"",$C1488+N($E1487))</f>
      </c>
      <c r="F1488" s="13">
        <f>IF(NOT(ISNUMBER($E1488)),"",IF($E1488-$C1488&lt;0.8,"A",IF($E1488-$C1488&lt;0.95,"B","C")))</f>
      </c>
    </row>
    <row r="1489">
      <c r="E1489" s="12">
        <f>IF(OR(NOT(ISNUMBER($C1489)),$A1490=""),"",$C1489+N($E1488))</f>
      </c>
      <c r="F1489" s="13">
        <f>IF(NOT(ISNUMBER($E1489)),"",IF($E1489-$C1489&lt;0.8,"A",IF($E1489-$C1489&lt;0.95,"B","C")))</f>
      </c>
    </row>
    <row r="1490">
      <c r="E1490" s="12">
        <f>IF(OR(NOT(ISNUMBER($C1490)),$A1491=""),"",$C1490+N($E1489))</f>
      </c>
      <c r="F1490" s="13">
        <f>IF(NOT(ISNUMBER($E1490)),"",IF($E1490-$C1490&lt;0.8,"A",IF($E1490-$C1490&lt;0.95,"B","C")))</f>
      </c>
    </row>
    <row r="1491">
      <c r="E1491" s="12">
        <f>IF(OR(NOT(ISNUMBER($C1491)),$A1492=""),"",$C1491+N($E1490))</f>
      </c>
      <c r="F1491" s="13">
        <f>IF(NOT(ISNUMBER($E1491)),"",IF($E1491-$C1491&lt;0.8,"A",IF($E1491-$C1491&lt;0.95,"B","C")))</f>
      </c>
    </row>
    <row r="1492">
      <c r="E1492" s="12">
        <f>IF(OR(NOT(ISNUMBER($C1492)),$A1493=""),"",$C1492+N($E1491))</f>
      </c>
      <c r="F1492" s="13">
        <f>IF(NOT(ISNUMBER($E1492)),"",IF($E1492-$C1492&lt;0.8,"A",IF($E1492-$C1492&lt;0.95,"B","C")))</f>
      </c>
    </row>
    <row r="1493">
      <c r="E1493" s="12">
        <f>IF(OR(NOT(ISNUMBER($C1493)),$A1494=""),"",$C1493+N($E1492))</f>
      </c>
      <c r="F1493" s="13">
        <f>IF(NOT(ISNUMBER($E1493)),"",IF($E1493-$C1493&lt;0.8,"A",IF($E1493-$C1493&lt;0.95,"B","C")))</f>
      </c>
    </row>
    <row r="1494">
      <c r="E1494" s="12">
        <f>IF(OR(NOT(ISNUMBER($C1494)),$A1495=""),"",$C1494+N($E1493))</f>
      </c>
      <c r="F1494" s="13">
        <f>IF(NOT(ISNUMBER($E1494)),"",IF($E1494-$C1494&lt;0.8,"A",IF($E1494-$C1494&lt;0.95,"B","C")))</f>
      </c>
    </row>
    <row r="1495">
      <c r="E1495" s="12">
        <f>IF(OR(NOT(ISNUMBER($C1495)),$A1496=""),"",$C1495+N($E1494))</f>
      </c>
      <c r="F1495" s="13">
        <f>IF(NOT(ISNUMBER($E1495)),"",IF($E1495-$C1495&lt;0.8,"A",IF($E1495-$C1495&lt;0.95,"B","C")))</f>
      </c>
    </row>
    <row r="1496">
      <c r="E1496" s="12">
        <f>IF(OR(NOT(ISNUMBER($C1496)),$A1497=""),"",$C1496+N($E1495))</f>
      </c>
      <c r="F1496" s="13">
        <f>IF(NOT(ISNUMBER($E1496)),"",IF($E1496-$C1496&lt;0.8,"A",IF($E1496-$C1496&lt;0.95,"B","C")))</f>
      </c>
    </row>
    <row r="1497">
      <c r="E1497" s="12">
        <f>IF(OR(NOT(ISNUMBER($C1497)),$A1498=""),"",$C1497+N($E1496))</f>
      </c>
      <c r="F1497" s="13">
        <f>IF(NOT(ISNUMBER($E1497)),"",IF($E1497-$C1497&lt;0.8,"A",IF($E1497-$C1497&lt;0.95,"B","C")))</f>
      </c>
    </row>
    <row r="1498">
      <c r="E1498" s="12">
        <f>IF(OR(NOT(ISNUMBER($C1498)),$A1499=""),"",$C1498+N($E1497))</f>
      </c>
      <c r="F1498" s="13">
        <f>IF(NOT(ISNUMBER($E1498)),"",IF($E1498-$C1498&lt;0.8,"A",IF($E1498-$C1498&lt;0.95,"B","C")))</f>
      </c>
    </row>
    <row r="1499">
      <c r="E1499" s="12">
        <f>IF(OR(NOT(ISNUMBER($C1499)),$A1500=""),"",$C1499+N($E1498))</f>
      </c>
      <c r="F1499" s="13">
        <f>IF(NOT(ISNUMBER($E1499)),"",IF($E1499-$C1499&lt;0.8,"A",IF($E1499-$C1499&lt;0.95,"B","C")))</f>
      </c>
    </row>
    <row r="1500">
      <c r="E1500" s="12">
        <f>IF(OR(NOT(ISNUMBER($C1500)),$A1501=""),"",$C1500+N($E1499))</f>
      </c>
      <c r="F1500" s="13">
        <f>IF(NOT(ISNUMBER($E1500)),"",IF($E1500-$C1500&lt;0.8,"A",IF($E1500-$C1500&lt;0.95,"B","C")))</f>
      </c>
    </row>
    <row r="1501">
      <c r="E1501" s="12">
        <f>IF(OR(NOT(ISNUMBER($C1501)),$A1502=""),"",$C1501+N($E1500))</f>
      </c>
      <c r="F1501" s="13">
        <f>IF(NOT(ISNUMBER($E1501)),"",IF($E1501-$C1501&lt;0.8,"A",IF($E1501-$C1501&lt;0.95,"B","C")))</f>
      </c>
    </row>
    <row r="1502">
      <c r="E1502" s="12">
        <f>IF(OR(NOT(ISNUMBER($C1502)),$A1503=""),"",$C1502+N($E1501))</f>
      </c>
      <c r="F1502" s="13">
        <f>IF(NOT(ISNUMBER($E1502)),"",IF($E1502-$C1502&lt;0.8,"A",IF($E1502-$C1502&lt;0.95,"B","C")))</f>
      </c>
    </row>
    <row r="1503">
      <c r="E1503" s="12">
        <f>IF(OR(NOT(ISNUMBER($C1503)),$A1504=""),"",$C1503+N($E1502))</f>
      </c>
      <c r="F1503" s="13">
        <f>IF(NOT(ISNUMBER($E1503)),"",IF($E1503-$C1503&lt;0.8,"A",IF($E1503-$C1503&lt;0.95,"B","C")))</f>
      </c>
    </row>
    <row r="1504">
      <c r="E1504" s="12">
        <f>IF(OR(NOT(ISNUMBER($C1504)),$A1505=""),"",$C1504+N($E1503))</f>
      </c>
      <c r="F1504" s="13">
        <f>IF(NOT(ISNUMBER($E1504)),"",IF($E1504-$C1504&lt;0.8,"A",IF($E1504-$C1504&lt;0.95,"B","C")))</f>
      </c>
    </row>
    <row r="1505">
      <c r="E1505" s="12">
        <f>IF(OR(NOT(ISNUMBER($C1505)),$A1506=""),"",$C1505+N($E1504))</f>
      </c>
      <c r="F1505" s="13">
        <f>IF(NOT(ISNUMBER($E1505)),"",IF($E1505-$C1505&lt;0.8,"A",IF($E1505-$C1505&lt;0.95,"B","C")))</f>
      </c>
    </row>
    <row r="1506">
      <c r="E1506" s="12">
        <f>IF(OR(NOT(ISNUMBER($C1506)),$A1507=""),"",$C1506+N($E1505))</f>
      </c>
      <c r="F1506" s="13">
        <f>IF(NOT(ISNUMBER($E1506)),"",IF($E1506-$C1506&lt;0.8,"A",IF($E1506-$C1506&lt;0.95,"B","C")))</f>
      </c>
    </row>
    <row r="1507">
      <c r="E1507" s="12">
        <f>IF(OR(NOT(ISNUMBER($C1507)),$A1508=""),"",$C1507+N($E1506))</f>
      </c>
      <c r="F1507" s="13">
        <f>IF(NOT(ISNUMBER($E1507)),"",IF($E1507-$C1507&lt;0.8,"A",IF($E1507-$C1507&lt;0.95,"B","C")))</f>
      </c>
    </row>
    <row r="1508">
      <c r="E1508" s="12">
        <f>IF(OR(NOT(ISNUMBER($C1508)),$A1509=""),"",$C1508+N($E1507))</f>
      </c>
      <c r="F1508" s="13">
        <f>IF(NOT(ISNUMBER($E1508)),"",IF($E1508-$C1508&lt;0.8,"A",IF($E1508-$C1508&lt;0.95,"B","C")))</f>
      </c>
    </row>
    <row r="1509">
      <c r="E1509" s="12">
        <f>IF(OR(NOT(ISNUMBER($C1509)),$A1510=""),"",$C1509+N($E1508))</f>
      </c>
      <c r="F1509" s="13">
        <f>IF(NOT(ISNUMBER($E1509)),"",IF($E1509-$C1509&lt;0.8,"A",IF($E1509-$C1509&lt;0.95,"B","C")))</f>
      </c>
    </row>
    <row r="1510">
      <c r="E1510" s="12">
        <f>IF(OR(NOT(ISNUMBER($C1510)),$A1511=""),"",$C1510+N($E1509))</f>
      </c>
      <c r="F1510" s="13">
        <f>IF(NOT(ISNUMBER($E1510)),"",IF($E1510-$C1510&lt;0.8,"A",IF($E1510-$C1510&lt;0.95,"B","C")))</f>
      </c>
    </row>
    <row r="1511">
      <c r="E1511" s="12">
        <f>IF(OR(NOT(ISNUMBER($C1511)),$A1512=""),"",$C1511+N($E1510))</f>
      </c>
      <c r="F1511" s="13">
        <f>IF(NOT(ISNUMBER($E1511)),"",IF($E1511-$C1511&lt;0.8,"A",IF($E1511-$C1511&lt;0.95,"B","C")))</f>
      </c>
    </row>
    <row r="1512">
      <c r="E1512" s="12">
        <f>IF(OR(NOT(ISNUMBER($C1512)),$A1513=""),"",$C1512+N($E1511))</f>
      </c>
      <c r="F1512" s="13">
        <f>IF(NOT(ISNUMBER($E1512)),"",IF($E1512-$C1512&lt;0.8,"A",IF($E1512-$C1512&lt;0.95,"B","C")))</f>
      </c>
    </row>
    <row r="1513">
      <c r="E1513" s="12">
        <f>IF(OR(NOT(ISNUMBER($C1513)),$A1514=""),"",$C1513+N($E1512))</f>
      </c>
      <c r="F1513" s="13">
        <f>IF(NOT(ISNUMBER($E1513)),"",IF($E1513-$C1513&lt;0.8,"A",IF($E1513-$C1513&lt;0.95,"B","C")))</f>
      </c>
    </row>
    <row r="1514">
      <c r="E1514" s="12">
        <f>IF(OR(NOT(ISNUMBER($C1514)),$A1515=""),"",$C1514+N($E1513))</f>
      </c>
      <c r="F1514" s="13">
        <f>IF(NOT(ISNUMBER($E1514)),"",IF($E1514-$C1514&lt;0.8,"A",IF($E1514-$C1514&lt;0.95,"B","C")))</f>
      </c>
    </row>
    <row r="1515">
      <c r="E1515" s="12">
        <f>IF(OR(NOT(ISNUMBER($C1515)),$A1516=""),"",$C1515+N($E1514))</f>
      </c>
      <c r="F1515" s="13">
        <f>IF(NOT(ISNUMBER($E1515)),"",IF($E1515-$C1515&lt;0.8,"A",IF($E1515-$C1515&lt;0.95,"B","C")))</f>
      </c>
    </row>
    <row r="1516">
      <c r="E1516" s="12">
        <f>IF(OR(NOT(ISNUMBER($C1516)),$A1517=""),"",$C1516+N($E1515))</f>
      </c>
      <c r="F1516" s="13">
        <f>IF(NOT(ISNUMBER($E1516)),"",IF($E1516-$C1516&lt;0.8,"A",IF($E1516-$C1516&lt;0.95,"B","C")))</f>
      </c>
    </row>
    <row r="1517">
      <c r="E1517" s="12">
        <f>IF(OR(NOT(ISNUMBER($C1517)),$A1518=""),"",$C1517+N($E1516))</f>
      </c>
      <c r="F1517" s="13">
        <f>IF(NOT(ISNUMBER($E1517)),"",IF($E1517-$C1517&lt;0.8,"A",IF($E1517-$C1517&lt;0.95,"B","C")))</f>
      </c>
    </row>
    <row r="1518">
      <c r="E1518" s="12">
        <f>IF(OR(NOT(ISNUMBER($C1518)),$A1519=""),"",$C1518+N($E1517))</f>
      </c>
      <c r="F1518" s="13">
        <f>IF(NOT(ISNUMBER($E1518)),"",IF($E1518-$C1518&lt;0.8,"A",IF($E1518-$C1518&lt;0.95,"B","C")))</f>
      </c>
    </row>
    <row r="1519">
      <c r="E1519" s="12">
        <f>IF(OR(NOT(ISNUMBER($C1519)),$A1520=""),"",$C1519+N($E1518))</f>
      </c>
      <c r="F1519" s="13">
        <f>IF(NOT(ISNUMBER($E1519)),"",IF($E1519-$C1519&lt;0.8,"A",IF($E1519-$C1519&lt;0.95,"B","C")))</f>
      </c>
    </row>
    <row r="1520">
      <c r="E1520" s="12">
        <f>IF(OR(NOT(ISNUMBER($C1520)),$A1521=""),"",$C1520+N($E1519))</f>
      </c>
      <c r="F1520" s="13">
        <f>IF(NOT(ISNUMBER($E1520)),"",IF($E1520-$C1520&lt;0.8,"A",IF($E1520-$C1520&lt;0.95,"B","C")))</f>
      </c>
    </row>
    <row r="1521">
      <c r="E1521" s="12">
        <f>IF(OR(NOT(ISNUMBER($C1521)),$A1522=""),"",$C1521+N($E1520))</f>
      </c>
      <c r="F1521" s="13">
        <f>IF(NOT(ISNUMBER($E1521)),"",IF($E1521-$C1521&lt;0.8,"A",IF($E1521-$C1521&lt;0.95,"B","C")))</f>
      </c>
    </row>
    <row r="1522">
      <c r="E1522" s="12">
        <f>IF(OR(NOT(ISNUMBER($C1522)),$A1523=""),"",$C1522+N($E1521))</f>
      </c>
      <c r="F1522" s="13">
        <f>IF(NOT(ISNUMBER($E1522)),"",IF($E1522-$C1522&lt;0.8,"A",IF($E1522-$C1522&lt;0.95,"B","C")))</f>
      </c>
    </row>
    <row r="1523">
      <c r="E1523" s="12">
        <f>IF(OR(NOT(ISNUMBER($C1523)),$A1524=""),"",$C1523+N($E1522))</f>
      </c>
      <c r="F1523" s="13">
        <f>IF(NOT(ISNUMBER($E1523)),"",IF($E1523-$C1523&lt;0.8,"A",IF($E1523-$C1523&lt;0.95,"B","C")))</f>
      </c>
    </row>
    <row r="1524">
      <c r="E1524" s="12">
        <f>IF(OR(NOT(ISNUMBER($C1524)),$A1525=""),"",$C1524+N($E1523))</f>
      </c>
      <c r="F1524" s="13">
        <f>IF(NOT(ISNUMBER($E1524)),"",IF($E1524-$C1524&lt;0.8,"A",IF($E1524-$C1524&lt;0.95,"B","C")))</f>
      </c>
    </row>
    <row r="1525">
      <c r="E1525" s="12">
        <f>IF(OR(NOT(ISNUMBER($C1525)),$A1526=""),"",$C1525+N($E1524))</f>
      </c>
      <c r="F1525" s="13">
        <f>IF(NOT(ISNUMBER($E1525)),"",IF($E1525-$C1525&lt;0.8,"A",IF($E1525-$C1525&lt;0.95,"B","C")))</f>
      </c>
    </row>
    <row r="1526">
      <c r="E1526" s="12">
        <f>IF(OR(NOT(ISNUMBER($C1526)),$A1527=""),"",$C1526+N($E1525))</f>
      </c>
      <c r="F1526" s="13">
        <f>IF(NOT(ISNUMBER($E1526)),"",IF($E1526-$C1526&lt;0.8,"A",IF($E1526-$C1526&lt;0.95,"B","C")))</f>
      </c>
    </row>
    <row r="1527">
      <c r="E1527" s="12">
        <f>IF(OR(NOT(ISNUMBER($C1527)),$A1528=""),"",$C1527+N($E1526))</f>
      </c>
      <c r="F1527" s="13">
        <f>IF(NOT(ISNUMBER($E1527)),"",IF($E1527-$C1527&lt;0.8,"A",IF($E1527-$C1527&lt;0.95,"B","C")))</f>
      </c>
    </row>
    <row r="1528">
      <c r="E1528" s="12">
        <f>IF(OR(NOT(ISNUMBER($C1528)),$A1529=""),"",$C1528+N($E1527))</f>
      </c>
      <c r="F1528" s="13">
        <f>IF(NOT(ISNUMBER($E1528)),"",IF($E1528-$C1528&lt;0.8,"A",IF($E1528-$C1528&lt;0.95,"B","C")))</f>
      </c>
    </row>
    <row r="1529">
      <c r="E1529" s="12">
        <f>IF(OR(NOT(ISNUMBER($C1529)),$A1530=""),"",$C1529+N($E1528))</f>
      </c>
      <c r="F1529" s="13">
        <f>IF(NOT(ISNUMBER($E1529)),"",IF($E1529-$C1529&lt;0.8,"A",IF($E1529-$C1529&lt;0.95,"B","C")))</f>
      </c>
    </row>
    <row r="1530">
      <c r="E1530" s="12">
        <f>IF(OR(NOT(ISNUMBER($C1530)),$A1531=""),"",$C1530+N($E1529))</f>
      </c>
      <c r="F1530" s="13">
        <f>IF(NOT(ISNUMBER($E1530)),"",IF($E1530-$C1530&lt;0.8,"A",IF($E1530-$C1530&lt;0.95,"B","C")))</f>
      </c>
    </row>
    <row r="1531">
      <c r="E1531" s="12">
        <f>IF(OR(NOT(ISNUMBER($C1531)),$A1532=""),"",$C1531+N($E1530))</f>
      </c>
      <c r="F1531" s="13">
        <f>IF(NOT(ISNUMBER($E1531)),"",IF($E1531-$C1531&lt;0.8,"A",IF($E1531-$C1531&lt;0.95,"B","C")))</f>
      </c>
    </row>
    <row r="1532">
      <c r="E1532" s="12">
        <f>IF(OR(NOT(ISNUMBER($C1532)),$A1533=""),"",$C1532+N($E1531))</f>
      </c>
      <c r="F1532" s="13">
        <f>IF(NOT(ISNUMBER($E1532)),"",IF($E1532-$C1532&lt;0.8,"A",IF($E1532-$C1532&lt;0.95,"B","C")))</f>
      </c>
    </row>
    <row r="1533">
      <c r="E1533" s="12">
        <f>IF(OR(NOT(ISNUMBER($C1533)),$A1534=""),"",$C1533+N($E1532))</f>
      </c>
      <c r="F1533" s="13">
        <f>IF(NOT(ISNUMBER($E1533)),"",IF($E1533-$C1533&lt;0.8,"A",IF($E1533-$C1533&lt;0.95,"B","C")))</f>
      </c>
    </row>
    <row r="1534">
      <c r="E1534" s="12">
        <f>IF(OR(NOT(ISNUMBER($C1534)),$A1535=""),"",$C1534+N($E1533))</f>
      </c>
      <c r="F1534" s="13">
        <f>IF(NOT(ISNUMBER($E1534)),"",IF($E1534-$C1534&lt;0.8,"A",IF($E1534-$C1534&lt;0.95,"B","C")))</f>
      </c>
    </row>
    <row r="1535">
      <c r="E1535" s="12">
        <f>IF(OR(NOT(ISNUMBER($C1535)),$A1536=""),"",$C1535+N($E1534))</f>
      </c>
      <c r="F1535" s="13">
        <f>IF(NOT(ISNUMBER($E1535)),"",IF($E1535-$C1535&lt;0.8,"A",IF($E1535-$C1535&lt;0.95,"B","C")))</f>
      </c>
    </row>
    <row r="1536">
      <c r="E1536" s="12">
        <f>IF(OR(NOT(ISNUMBER($C1536)),$A1537=""),"",$C1536+N($E1535))</f>
      </c>
      <c r="F1536" s="13">
        <f>IF(NOT(ISNUMBER($E1536)),"",IF($E1536-$C1536&lt;0.8,"A",IF($E1536-$C1536&lt;0.95,"B","C")))</f>
      </c>
    </row>
    <row r="1537">
      <c r="E1537" s="12">
        <f>IF(OR(NOT(ISNUMBER($C1537)),$A1538=""),"",$C1537+N($E1536))</f>
      </c>
      <c r="F1537" s="13">
        <f>IF(NOT(ISNUMBER($E1537)),"",IF($E1537-$C1537&lt;0.8,"A",IF($E1537-$C1537&lt;0.95,"B","C")))</f>
      </c>
    </row>
    <row r="1538">
      <c r="E1538" s="12">
        <f>IF(OR(NOT(ISNUMBER($C1538)),$A1539=""),"",$C1538+N($E1537))</f>
      </c>
      <c r="F1538" s="13">
        <f>IF(NOT(ISNUMBER($E1538)),"",IF($E1538-$C1538&lt;0.8,"A",IF($E1538-$C1538&lt;0.95,"B","C")))</f>
      </c>
    </row>
    <row r="1539">
      <c r="E1539" s="12">
        <f>IF(OR(NOT(ISNUMBER($C1539)),$A1540=""),"",$C1539+N($E1538))</f>
      </c>
      <c r="F1539" s="13">
        <f>IF(NOT(ISNUMBER($E1539)),"",IF($E1539-$C1539&lt;0.8,"A",IF($E1539-$C1539&lt;0.95,"B","C")))</f>
      </c>
    </row>
    <row r="1540">
      <c r="E1540" s="12">
        <f>IF(OR(NOT(ISNUMBER($C1540)),$A1541=""),"",$C1540+N($E1539))</f>
      </c>
      <c r="F1540" s="13">
        <f>IF(NOT(ISNUMBER($E1540)),"",IF($E1540-$C1540&lt;0.8,"A",IF($E1540-$C1540&lt;0.95,"B","C")))</f>
      </c>
    </row>
    <row r="1541">
      <c r="E1541" s="12">
        <f>IF(OR(NOT(ISNUMBER($C1541)),$A1542=""),"",$C1541+N($E1540))</f>
      </c>
      <c r="F1541" s="13">
        <f>IF(NOT(ISNUMBER($E1541)),"",IF($E1541-$C1541&lt;0.8,"A",IF($E1541-$C1541&lt;0.95,"B","C")))</f>
      </c>
    </row>
    <row r="1542">
      <c r="E1542" s="12">
        <f>IF(OR(NOT(ISNUMBER($C1542)),$A1543=""),"",$C1542+N($E1541))</f>
      </c>
      <c r="F1542" s="13">
        <f>IF(NOT(ISNUMBER($E1542)),"",IF($E1542-$C1542&lt;0.8,"A",IF($E1542-$C1542&lt;0.95,"B","C")))</f>
      </c>
    </row>
    <row r="1543">
      <c r="E1543" s="12">
        <f>IF(OR(NOT(ISNUMBER($C1543)),$A1544=""),"",$C1543+N($E1542))</f>
      </c>
      <c r="F1543" s="13">
        <f>IF(NOT(ISNUMBER($E1543)),"",IF($E1543-$C1543&lt;0.8,"A",IF($E1543-$C1543&lt;0.95,"B","C")))</f>
      </c>
    </row>
    <row r="1544">
      <c r="E1544" s="12">
        <f>IF(OR(NOT(ISNUMBER($C1544)),$A1545=""),"",$C1544+N($E1543))</f>
      </c>
      <c r="F1544" s="13">
        <f>IF(NOT(ISNUMBER($E1544)),"",IF($E1544-$C1544&lt;0.8,"A",IF($E1544-$C1544&lt;0.95,"B","C")))</f>
      </c>
    </row>
    <row r="1545">
      <c r="E1545" s="12">
        <f>IF(OR(NOT(ISNUMBER($C1545)),$A1546=""),"",$C1545+N($E1544))</f>
      </c>
      <c r="F1545" s="13">
        <f>IF(NOT(ISNUMBER($E1545)),"",IF($E1545-$C1545&lt;0.8,"A",IF($E1545-$C1545&lt;0.95,"B","C")))</f>
      </c>
    </row>
    <row r="1546">
      <c r="E1546" s="12">
        <f>IF(OR(NOT(ISNUMBER($C1546)),$A1547=""),"",$C1546+N($E1545))</f>
      </c>
      <c r="F1546" s="13">
        <f>IF(NOT(ISNUMBER($E1546)),"",IF($E1546-$C1546&lt;0.8,"A",IF($E1546-$C1546&lt;0.95,"B","C")))</f>
      </c>
    </row>
    <row r="1547">
      <c r="E1547" s="12">
        <f>IF(OR(NOT(ISNUMBER($C1547)),$A1548=""),"",$C1547+N($E1546))</f>
      </c>
      <c r="F1547" s="13">
        <f>IF(NOT(ISNUMBER($E1547)),"",IF($E1547-$C1547&lt;0.8,"A",IF($E1547-$C1547&lt;0.95,"B","C")))</f>
      </c>
    </row>
    <row r="1548">
      <c r="E1548" s="12">
        <f>IF(OR(NOT(ISNUMBER($C1548)),$A1549=""),"",$C1548+N($E1547))</f>
      </c>
      <c r="F1548" s="13">
        <f>IF(NOT(ISNUMBER($E1548)),"",IF($E1548-$C1548&lt;0.8,"A",IF($E1548-$C1548&lt;0.95,"B","C")))</f>
      </c>
    </row>
    <row r="1549">
      <c r="E1549" s="12">
        <f>IF(OR(NOT(ISNUMBER($C1549)),$A1550=""),"",$C1549+N($E1548))</f>
      </c>
      <c r="F1549" s="13">
        <f>IF(NOT(ISNUMBER($E1549)),"",IF($E1549-$C1549&lt;0.8,"A",IF($E1549-$C1549&lt;0.95,"B","C")))</f>
      </c>
    </row>
    <row r="1550">
      <c r="E1550" s="12">
        <f>IF(OR(NOT(ISNUMBER($C1550)),$A1551=""),"",$C1550+N($E1549))</f>
      </c>
      <c r="F1550" s="13">
        <f>IF(NOT(ISNUMBER($E1550)),"",IF($E1550-$C1550&lt;0.8,"A",IF($E1550-$C1550&lt;0.95,"B","C")))</f>
      </c>
    </row>
    <row r="1551">
      <c r="E1551" s="12">
        <f>IF(OR(NOT(ISNUMBER($C1551)),$A1552=""),"",$C1551+N($E1550))</f>
      </c>
      <c r="F1551" s="13">
        <f>IF(NOT(ISNUMBER($E1551)),"",IF($E1551-$C1551&lt;0.8,"A",IF($E1551-$C1551&lt;0.95,"B","C")))</f>
      </c>
    </row>
    <row r="1552">
      <c r="E1552" s="12">
        <f>IF(OR(NOT(ISNUMBER($C1552)),$A1553=""),"",$C1552+N($E1551))</f>
      </c>
      <c r="F1552" s="13">
        <f>IF(NOT(ISNUMBER($E1552)),"",IF($E1552-$C1552&lt;0.8,"A",IF($E1552-$C1552&lt;0.95,"B","C")))</f>
      </c>
    </row>
    <row r="1553">
      <c r="E1553" s="12">
        <f>IF(OR(NOT(ISNUMBER($C1553)),$A1554=""),"",$C1553+N($E1552))</f>
      </c>
      <c r="F1553" s="13">
        <f>IF(NOT(ISNUMBER($E1553)),"",IF($E1553-$C1553&lt;0.8,"A",IF($E1553-$C1553&lt;0.95,"B","C")))</f>
      </c>
    </row>
    <row r="1554">
      <c r="E1554" s="12">
        <f>IF(OR(NOT(ISNUMBER($C1554)),$A1555=""),"",$C1554+N($E1553))</f>
      </c>
      <c r="F1554" s="13">
        <f>IF(NOT(ISNUMBER($E1554)),"",IF($E1554-$C1554&lt;0.8,"A",IF($E1554-$C1554&lt;0.95,"B","C")))</f>
      </c>
    </row>
    <row r="1555">
      <c r="E1555" s="12">
        <f>IF(OR(NOT(ISNUMBER($C1555)),$A1556=""),"",$C1555+N($E1554))</f>
      </c>
      <c r="F1555" s="13">
        <f>IF(NOT(ISNUMBER($E1555)),"",IF($E1555-$C1555&lt;0.8,"A",IF($E1555-$C1555&lt;0.95,"B","C")))</f>
      </c>
    </row>
    <row r="1556">
      <c r="E1556" s="12">
        <f>IF(OR(NOT(ISNUMBER($C1556)),$A1557=""),"",$C1556+N($E1555))</f>
      </c>
      <c r="F1556" s="13">
        <f>IF(NOT(ISNUMBER($E1556)),"",IF($E1556-$C1556&lt;0.8,"A",IF($E1556-$C1556&lt;0.95,"B","C")))</f>
      </c>
    </row>
    <row r="1557">
      <c r="E1557" s="12">
        <f>IF(OR(NOT(ISNUMBER($C1557)),$A1558=""),"",$C1557+N($E1556))</f>
      </c>
      <c r="F1557" s="13">
        <f>IF(NOT(ISNUMBER($E1557)),"",IF($E1557-$C1557&lt;0.8,"A",IF($E1557-$C1557&lt;0.95,"B","C")))</f>
      </c>
    </row>
    <row r="1558">
      <c r="E1558" s="12">
        <f>IF(OR(NOT(ISNUMBER($C1558)),$A1559=""),"",$C1558+N($E1557))</f>
      </c>
      <c r="F1558" s="13">
        <f>IF(NOT(ISNUMBER($E1558)),"",IF($E1558-$C1558&lt;0.8,"A",IF($E1558-$C1558&lt;0.95,"B","C")))</f>
      </c>
    </row>
    <row r="1559">
      <c r="E1559" s="12">
        <f>IF(OR(NOT(ISNUMBER($C1559)),$A1560=""),"",$C1559+N($E1558))</f>
      </c>
      <c r="F1559" s="13">
        <f>IF(NOT(ISNUMBER($E1559)),"",IF($E1559-$C1559&lt;0.8,"A",IF($E1559-$C1559&lt;0.95,"B","C")))</f>
      </c>
    </row>
    <row r="1560">
      <c r="E1560" s="12">
        <f>IF(OR(NOT(ISNUMBER($C1560)),$A1561=""),"",$C1560+N($E1559))</f>
      </c>
      <c r="F1560" s="13">
        <f>IF(NOT(ISNUMBER($E1560)),"",IF($E1560-$C1560&lt;0.8,"A",IF($E1560-$C1560&lt;0.95,"B","C")))</f>
      </c>
    </row>
    <row r="1561">
      <c r="E1561" s="12">
        <f>IF(OR(NOT(ISNUMBER($C1561)),$A1562=""),"",$C1561+N($E1560))</f>
      </c>
      <c r="F1561" s="13">
        <f>IF(NOT(ISNUMBER($E1561)),"",IF($E1561-$C1561&lt;0.8,"A",IF($E1561-$C1561&lt;0.95,"B","C")))</f>
      </c>
    </row>
    <row r="1562">
      <c r="E1562" s="12">
        <f>IF(OR(NOT(ISNUMBER($C1562)),$A1563=""),"",$C1562+N($E1561))</f>
      </c>
      <c r="F1562" s="13">
        <f>IF(NOT(ISNUMBER($E1562)),"",IF($E1562-$C1562&lt;0.8,"A",IF($E1562-$C1562&lt;0.95,"B","C")))</f>
      </c>
    </row>
    <row r="1563">
      <c r="E1563" s="12">
        <f>IF(OR(NOT(ISNUMBER($C1563)),$A1564=""),"",$C1563+N($E1562))</f>
      </c>
      <c r="F1563" s="13">
        <f>IF(NOT(ISNUMBER($E1563)),"",IF($E1563-$C1563&lt;0.8,"A",IF($E1563-$C1563&lt;0.95,"B","C")))</f>
      </c>
    </row>
    <row r="1564">
      <c r="E1564" s="12">
        <f>IF(OR(NOT(ISNUMBER($C1564)),$A1565=""),"",$C1564+N($E1563))</f>
      </c>
      <c r="F1564" s="13">
        <f>IF(NOT(ISNUMBER($E1564)),"",IF($E1564-$C1564&lt;0.8,"A",IF($E1564-$C1564&lt;0.95,"B","C")))</f>
      </c>
    </row>
    <row r="1565">
      <c r="E1565" s="12">
        <f>IF(OR(NOT(ISNUMBER($C1565)),$A1566=""),"",$C1565+N($E1564))</f>
      </c>
      <c r="F1565" s="13">
        <f>IF(NOT(ISNUMBER($E1565)),"",IF($E1565-$C1565&lt;0.8,"A",IF($E1565-$C1565&lt;0.95,"B","C")))</f>
      </c>
    </row>
    <row r="1566">
      <c r="E1566" s="12">
        <f>IF(OR(NOT(ISNUMBER($C1566)),$A1567=""),"",$C1566+N($E1565))</f>
      </c>
      <c r="F1566" s="13">
        <f>IF(NOT(ISNUMBER($E1566)),"",IF($E1566-$C1566&lt;0.8,"A",IF($E1566-$C1566&lt;0.95,"B","C")))</f>
      </c>
    </row>
    <row r="1567">
      <c r="E1567" s="12">
        <f>IF(OR(NOT(ISNUMBER($C1567)),$A1568=""),"",$C1567+N($E1566))</f>
      </c>
      <c r="F1567" s="13">
        <f>IF(NOT(ISNUMBER($E1567)),"",IF($E1567-$C1567&lt;0.8,"A",IF($E1567-$C1567&lt;0.95,"B","C")))</f>
      </c>
    </row>
    <row r="1568">
      <c r="E1568" s="12">
        <f>IF(OR(NOT(ISNUMBER($C1568)),$A1569=""),"",$C1568+N($E1567))</f>
      </c>
      <c r="F1568" s="13">
        <f>IF(NOT(ISNUMBER($E1568)),"",IF($E1568-$C1568&lt;0.8,"A",IF($E1568-$C1568&lt;0.95,"B","C")))</f>
      </c>
    </row>
    <row r="1569">
      <c r="E1569" s="12">
        <f>IF(OR(NOT(ISNUMBER($C1569)),$A1570=""),"",$C1569+N($E1568))</f>
      </c>
      <c r="F1569" s="13">
        <f>IF(NOT(ISNUMBER($E1569)),"",IF($E1569-$C1569&lt;0.8,"A",IF($E1569-$C1569&lt;0.95,"B","C")))</f>
      </c>
    </row>
    <row r="1570">
      <c r="E1570" s="12">
        <f>IF(OR(NOT(ISNUMBER($C1570)),$A1571=""),"",$C1570+N($E1569))</f>
      </c>
      <c r="F1570" s="13">
        <f>IF(NOT(ISNUMBER($E1570)),"",IF($E1570-$C1570&lt;0.8,"A",IF($E1570-$C1570&lt;0.95,"B","C")))</f>
      </c>
    </row>
    <row r="1571">
      <c r="E1571" s="12">
        <f>IF(OR(NOT(ISNUMBER($C1571)),$A1572=""),"",$C1571+N($E1570))</f>
      </c>
      <c r="F1571" s="13">
        <f>IF(NOT(ISNUMBER($E1571)),"",IF($E1571-$C1571&lt;0.8,"A",IF($E1571-$C1571&lt;0.95,"B","C")))</f>
      </c>
    </row>
    <row r="1572">
      <c r="E1572" s="12">
        <f>IF(OR(NOT(ISNUMBER($C1572)),$A1573=""),"",$C1572+N($E1571))</f>
      </c>
      <c r="F1572" s="13">
        <f>IF(NOT(ISNUMBER($E1572)),"",IF($E1572-$C1572&lt;0.8,"A",IF($E1572-$C1572&lt;0.95,"B","C")))</f>
      </c>
    </row>
    <row r="1573">
      <c r="E1573" s="12">
        <f>IF(OR(NOT(ISNUMBER($C1573)),$A1574=""),"",$C1573+N($E1572))</f>
      </c>
      <c r="F1573" s="13">
        <f>IF(NOT(ISNUMBER($E1573)),"",IF($E1573-$C1573&lt;0.8,"A",IF($E1573-$C1573&lt;0.95,"B","C")))</f>
      </c>
    </row>
    <row r="1574">
      <c r="E1574" s="12">
        <f>IF(OR(NOT(ISNUMBER($C1574)),$A1575=""),"",$C1574+N($E1573))</f>
      </c>
      <c r="F1574" s="13">
        <f>IF(NOT(ISNUMBER($E1574)),"",IF($E1574-$C1574&lt;0.8,"A",IF($E1574-$C1574&lt;0.95,"B","C")))</f>
      </c>
    </row>
    <row r="1575">
      <c r="E1575" s="12">
        <f>IF(OR(NOT(ISNUMBER($C1575)),$A1576=""),"",$C1575+N($E1574))</f>
      </c>
      <c r="F1575" s="13">
        <f>IF(NOT(ISNUMBER($E1575)),"",IF($E1575-$C1575&lt;0.8,"A",IF($E1575-$C1575&lt;0.95,"B","C")))</f>
      </c>
    </row>
    <row r="1576">
      <c r="E1576" s="12">
        <f>IF(OR(NOT(ISNUMBER($C1576)),$A1577=""),"",$C1576+N($E1575))</f>
      </c>
      <c r="F1576" s="13">
        <f>IF(NOT(ISNUMBER($E1576)),"",IF($E1576-$C1576&lt;0.8,"A",IF($E1576-$C1576&lt;0.95,"B","C")))</f>
      </c>
    </row>
    <row r="1577">
      <c r="E1577" s="12">
        <f>IF(OR(NOT(ISNUMBER($C1577)),$A1578=""),"",$C1577+N($E1576))</f>
      </c>
      <c r="F1577" s="13">
        <f>IF(NOT(ISNUMBER($E1577)),"",IF($E1577-$C1577&lt;0.8,"A",IF($E1577-$C1577&lt;0.95,"B","C")))</f>
      </c>
    </row>
    <row r="1578">
      <c r="E1578" s="12">
        <f>IF(OR(NOT(ISNUMBER($C1578)),$A1579=""),"",$C1578+N($E1577))</f>
      </c>
      <c r="F1578" s="13">
        <f>IF(NOT(ISNUMBER($E1578)),"",IF($E1578-$C1578&lt;0.8,"A",IF($E1578-$C1578&lt;0.95,"B","C")))</f>
      </c>
    </row>
    <row r="1579">
      <c r="E1579" s="12">
        <f>IF(OR(NOT(ISNUMBER($C1579)),$A1580=""),"",$C1579+N($E1578))</f>
      </c>
      <c r="F1579" s="13">
        <f>IF(NOT(ISNUMBER($E1579)),"",IF($E1579-$C1579&lt;0.8,"A",IF($E1579-$C1579&lt;0.95,"B","C")))</f>
      </c>
    </row>
    <row r="1580">
      <c r="E1580" s="12">
        <f>IF(OR(NOT(ISNUMBER($C1580)),$A1581=""),"",$C1580+N($E1579))</f>
      </c>
      <c r="F1580" s="13">
        <f>IF(NOT(ISNUMBER($E1580)),"",IF($E1580-$C1580&lt;0.8,"A",IF($E1580-$C1580&lt;0.95,"B","C")))</f>
      </c>
    </row>
    <row r="1581">
      <c r="E1581" s="12">
        <f>IF(OR(NOT(ISNUMBER($C1581)),$A1582=""),"",$C1581+N($E1580))</f>
      </c>
      <c r="F1581" s="13">
        <f>IF(NOT(ISNUMBER($E1581)),"",IF($E1581-$C1581&lt;0.8,"A",IF($E1581-$C1581&lt;0.95,"B","C")))</f>
      </c>
    </row>
    <row r="1582">
      <c r="E1582" s="12">
        <f>IF(OR(NOT(ISNUMBER($C1582)),$A1583=""),"",$C1582+N($E1581))</f>
      </c>
      <c r="F1582" s="13">
        <f>IF(NOT(ISNUMBER($E1582)),"",IF($E1582-$C1582&lt;0.8,"A",IF($E1582-$C1582&lt;0.95,"B","C")))</f>
      </c>
    </row>
    <row r="1583">
      <c r="E1583" s="12">
        <f>IF(OR(NOT(ISNUMBER($C1583)),$A1584=""),"",$C1583+N($E1582))</f>
      </c>
      <c r="F1583" s="13">
        <f>IF(NOT(ISNUMBER($E1583)),"",IF($E1583-$C1583&lt;0.8,"A",IF($E1583-$C1583&lt;0.95,"B","C")))</f>
      </c>
    </row>
    <row r="1584">
      <c r="E1584" s="12">
        <f>IF(OR(NOT(ISNUMBER($C1584)),$A1585=""),"",$C1584+N($E1583))</f>
      </c>
      <c r="F1584" s="13">
        <f>IF(NOT(ISNUMBER($E1584)),"",IF($E1584-$C1584&lt;0.8,"A",IF($E1584-$C1584&lt;0.95,"B","C")))</f>
      </c>
    </row>
    <row r="1585">
      <c r="E1585" s="12">
        <f>IF(OR(NOT(ISNUMBER($C1585)),$A1586=""),"",$C1585+N($E1584))</f>
      </c>
      <c r="F1585" s="13">
        <f>IF(NOT(ISNUMBER($E1585)),"",IF($E1585-$C1585&lt;0.8,"A",IF($E1585-$C1585&lt;0.95,"B","C")))</f>
      </c>
    </row>
    <row r="1586">
      <c r="E1586" s="12">
        <f>IF(OR(NOT(ISNUMBER($C1586)),$A1587=""),"",$C1586+N($E1585))</f>
      </c>
      <c r="F1586" s="13">
        <f>IF(NOT(ISNUMBER($E1586)),"",IF($E1586-$C1586&lt;0.8,"A",IF($E1586-$C1586&lt;0.95,"B","C")))</f>
      </c>
    </row>
    <row r="1587">
      <c r="E1587" s="12">
        <f>IF(OR(NOT(ISNUMBER($C1587)),$A1588=""),"",$C1587+N($E1586))</f>
      </c>
      <c r="F1587" s="13">
        <f>IF(NOT(ISNUMBER($E1587)),"",IF($E1587-$C1587&lt;0.8,"A",IF($E1587-$C1587&lt;0.95,"B","C")))</f>
      </c>
    </row>
    <row r="1588">
      <c r="E1588" s="12">
        <f>IF(OR(NOT(ISNUMBER($C1588)),$A1589=""),"",$C1588+N($E1587))</f>
      </c>
      <c r="F1588" s="13">
        <f>IF(NOT(ISNUMBER($E1588)),"",IF($E1588-$C1588&lt;0.8,"A",IF($E1588-$C1588&lt;0.95,"B","C")))</f>
      </c>
    </row>
    <row r="1589">
      <c r="E1589" s="12">
        <f>IF(OR(NOT(ISNUMBER($C1589)),$A1590=""),"",$C1589+N($E1588))</f>
      </c>
      <c r="F1589" s="13">
        <f>IF(NOT(ISNUMBER($E1589)),"",IF($E1589-$C1589&lt;0.8,"A",IF($E1589-$C1589&lt;0.95,"B","C")))</f>
      </c>
    </row>
    <row r="1590">
      <c r="E1590" s="12">
        <f>IF(OR(NOT(ISNUMBER($C1590)),$A1591=""),"",$C1590+N($E1589))</f>
      </c>
      <c r="F1590" s="13">
        <f>IF(NOT(ISNUMBER($E1590)),"",IF($E1590-$C1590&lt;0.8,"A",IF($E1590-$C1590&lt;0.95,"B","C")))</f>
      </c>
    </row>
    <row r="1591">
      <c r="E1591" s="12">
        <f>IF(OR(NOT(ISNUMBER($C1591)),$A1592=""),"",$C1591+N($E1590))</f>
      </c>
      <c r="F1591" s="13">
        <f>IF(NOT(ISNUMBER($E1591)),"",IF($E1591-$C1591&lt;0.8,"A",IF($E1591-$C1591&lt;0.95,"B","C")))</f>
      </c>
    </row>
    <row r="1592">
      <c r="E1592" s="12">
        <f>IF(OR(NOT(ISNUMBER($C1592)),$A1593=""),"",$C1592+N($E1591))</f>
      </c>
      <c r="F1592" s="13">
        <f>IF(NOT(ISNUMBER($E1592)),"",IF($E1592-$C1592&lt;0.8,"A",IF($E1592-$C1592&lt;0.95,"B","C")))</f>
      </c>
    </row>
    <row r="1593">
      <c r="E1593" s="12">
        <f>IF(OR(NOT(ISNUMBER($C1593)),$A1594=""),"",$C1593+N($E1592))</f>
      </c>
      <c r="F1593" s="13">
        <f>IF(NOT(ISNUMBER($E1593)),"",IF($E1593-$C1593&lt;0.8,"A",IF($E1593-$C1593&lt;0.95,"B","C")))</f>
      </c>
    </row>
    <row r="1594">
      <c r="E1594" s="12">
        <f>IF(OR(NOT(ISNUMBER($C1594)),$A1595=""),"",$C1594+N($E1593))</f>
      </c>
      <c r="F1594" s="13">
        <f>IF(NOT(ISNUMBER($E1594)),"",IF($E1594-$C1594&lt;0.8,"A",IF($E1594-$C1594&lt;0.95,"B","C")))</f>
      </c>
    </row>
    <row r="1595">
      <c r="E1595" s="12">
        <f>IF(OR(NOT(ISNUMBER($C1595)),$A1596=""),"",$C1595+N($E1594))</f>
      </c>
      <c r="F1595" s="13">
        <f>IF(NOT(ISNUMBER($E1595)),"",IF($E1595-$C1595&lt;0.8,"A",IF($E1595-$C1595&lt;0.95,"B","C")))</f>
      </c>
    </row>
    <row r="1596">
      <c r="E1596" s="12">
        <f>IF(OR(NOT(ISNUMBER($C1596)),$A1597=""),"",$C1596+N($E1595))</f>
      </c>
      <c r="F1596" s="13">
        <f>IF(NOT(ISNUMBER($E1596)),"",IF($E1596-$C1596&lt;0.8,"A",IF($E1596-$C1596&lt;0.95,"B","C")))</f>
      </c>
    </row>
    <row r="1597">
      <c r="E1597" s="12">
        <f>IF(OR(NOT(ISNUMBER($C1597)),$A1598=""),"",$C1597+N($E1596))</f>
      </c>
      <c r="F1597" s="13">
        <f>IF(NOT(ISNUMBER($E1597)),"",IF($E1597-$C1597&lt;0.8,"A",IF($E1597-$C1597&lt;0.95,"B","C")))</f>
      </c>
    </row>
    <row r="1598">
      <c r="E1598" s="12">
        <f>IF(OR(NOT(ISNUMBER($C1598)),$A1599=""),"",$C1598+N($E1597))</f>
      </c>
      <c r="F1598" s="13">
        <f>IF(NOT(ISNUMBER($E1598)),"",IF($E1598-$C1598&lt;0.8,"A",IF($E1598-$C1598&lt;0.95,"B","C")))</f>
      </c>
    </row>
    <row r="1599">
      <c r="E1599" s="12">
        <f>IF(OR(NOT(ISNUMBER($C1599)),$A1600=""),"",$C1599+N($E1598))</f>
      </c>
      <c r="F1599" s="13">
        <f>IF(NOT(ISNUMBER($E1599)),"",IF($E1599-$C1599&lt;0.8,"A",IF($E1599-$C1599&lt;0.95,"B","C")))</f>
      </c>
    </row>
    <row r="1600">
      <c r="E1600" s="12">
        <f>IF(OR(NOT(ISNUMBER($C1600)),$A1601=""),"",$C1600+N($E1599))</f>
      </c>
      <c r="F1600" s="13">
        <f>IF(NOT(ISNUMBER($E1600)),"",IF($E1600-$C1600&lt;0.8,"A",IF($E1600-$C1600&lt;0.95,"B","C")))</f>
      </c>
    </row>
    <row r="1601">
      <c r="E1601" s="12">
        <f>IF(OR(NOT(ISNUMBER($C1601)),$A1602=""),"",$C1601+N($E1600))</f>
      </c>
      <c r="F1601" s="13">
        <f>IF(NOT(ISNUMBER($E1601)),"",IF($E1601-$C1601&lt;0.8,"A",IF($E1601-$C1601&lt;0.95,"B","C")))</f>
      </c>
    </row>
    <row r="1602">
      <c r="E1602" s="12">
        <f>IF(OR(NOT(ISNUMBER($C1602)),$A1603=""),"",$C1602+N($E1601))</f>
      </c>
      <c r="F1602" s="13">
        <f>IF(NOT(ISNUMBER($E1602)),"",IF($E1602-$C1602&lt;0.8,"A",IF($E1602-$C1602&lt;0.95,"B","C")))</f>
      </c>
    </row>
    <row r="1603">
      <c r="E1603" s="12">
        <f>IF(OR(NOT(ISNUMBER($C1603)),$A1604=""),"",$C1603+N($E1602))</f>
      </c>
      <c r="F1603" s="13">
        <f>IF(NOT(ISNUMBER($E1603)),"",IF($E1603-$C1603&lt;0.8,"A",IF($E1603-$C1603&lt;0.95,"B","C")))</f>
      </c>
    </row>
    <row r="1604">
      <c r="E1604" s="12">
        <f>IF(OR(NOT(ISNUMBER($C1604)),$A1605=""),"",$C1604+N($E1603))</f>
      </c>
      <c r="F1604" s="13">
        <f>IF(NOT(ISNUMBER($E1604)),"",IF($E1604-$C1604&lt;0.8,"A",IF($E1604-$C1604&lt;0.95,"B","C")))</f>
      </c>
    </row>
    <row r="1605">
      <c r="E1605" s="12">
        <f>IF(OR(NOT(ISNUMBER($C1605)),$A1606=""),"",$C1605+N($E1604))</f>
      </c>
      <c r="F1605" s="13">
        <f>IF(NOT(ISNUMBER($E1605)),"",IF($E1605-$C1605&lt;0.8,"A",IF($E1605-$C1605&lt;0.95,"B","C")))</f>
      </c>
    </row>
    <row r="1606">
      <c r="E1606" s="12">
        <f>IF(OR(NOT(ISNUMBER($C1606)),$A1607=""),"",$C1606+N($E1605))</f>
      </c>
      <c r="F1606" s="13">
        <f>IF(NOT(ISNUMBER($E1606)),"",IF($E1606-$C1606&lt;0.8,"A",IF($E1606-$C1606&lt;0.95,"B","C")))</f>
      </c>
    </row>
    <row r="1607">
      <c r="E1607" s="12">
        <f>IF(OR(NOT(ISNUMBER($C1607)),$A1608=""),"",$C1607+N($E1606))</f>
      </c>
      <c r="F1607" s="13">
        <f>IF(NOT(ISNUMBER($E1607)),"",IF($E1607-$C1607&lt;0.8,"A",IF($E1607-$C1607&lt;0.95,"B","C")))</f>
      </c>
    </row>
    <row r="1608">
      <c r="E1608" s="12">
        <f>IF(OR(NOT(ISNUMBER($C1608)),$A1609=""),"",$C1608+N($E1607))</f>
      </c>
      <c r="F1608" s="13">
        <f>IF(NOT(ISNUMBER($E1608)),"",IF($E1608-$C1608&lt;0.8,"A",IF($E1608-$C1608&lt;0.95,"B","C")))</f>
      </c>
    </row>
    <row r="1609">
      <c r="E1609" s="12">
        <f>IF(OR(NOT(ISNUMBER($C1609)),$A1610=""),"",$C1609+N($E1608))</f>
      </c>
      <c r="F1609" s="13">
        <f>IF(NOT(ISNUMBER($E1609)),"",IF($E1609-$C1609&lt;0.8,"A",IF($E1609-$C1609&lt;0.95,"B","C")))</f>
      </c>
    </row>
    <row r="1610">
      <c r="E1610" s="12">
        <f>IF(OR(NOT(ISNUMBER($C1610)),$A1611=""),"",$C1610+N($E1609))</f>
      </c>
      <c r="F1610" s="13">
        <f>IF(NOT(ISNUMBER($E1610)),"",IF($E1610-$C1610&lt;0.8,"A",IF($E1610-$C1610&lt;0.95,"B","C")))</f>
      </c>
    </row>
    <row r="1611">
      <c r="E1611" s="12">
        <f>IF(OR(NOT(ISNUMBER($C1611)),$A1612=""),"",$C1611+N($E1610))</f>
      </c>
      <c r="F1611" s="13">
        <f>IF(NOT(ISNUMBER($E1611)),"",IF($E1611-$C1611&lt;0.8,"A",IF($E1611-$C1611&lt;0.95,"B","C")))</f>
      </c>
    </row>
    <row r="1612">
      <c r="E1612" s="12">
        <f>IF(OR(NOT(ISNUMBER($C1612)),$A1613=""),"",$C1612+N($E1611))</f>
      </c>
      <c r="F1612" s="13">
        <f>IF(NOT(ISNUMBER($E1612)),"",IF($E1612-$C1612&lt;0.8,"A",IF($E1612-$C1612&lt;0.95,"B","C")))</f>
      </c>
    </row>
    <row r="1613">
      <c r="E1613" s="12">
        <f>IF(OR(NOT(ISNUMBER($C1613)),$A1614=""),"",$C1613+N($E1612))</f>
      </c>
      <c r="F1613" s="13">
        <f>IF(NOT(ISNUMBER($E1613)),"",IF($E1613-$C1613&lt;0.8,"A",IF($E1613-$C1613&lt;0.95,"B","C")))</f>
      </c>
    </row>
    <row r="1614">
      <c r="E1614" s="12">
        <f>IF(OR(NOT(ISNUMBER($C1614)),$A1615=""),"",$C1614+N($E1613))</f>
      </c>
      <c r="F1614" s="13">
        <f>IF(NOT(ISNUMBER($E1614)),"",IF($E1614-$C1614&lt;0.8,"A",IF($E1614-$C1614&lt;0.95,"B","C")))</f>
      </c>
    </row>
    <row r="1615">
      <c r="E1615" s="12">
        <f>IF(OR(NOT(ISNUMBER($C1615)),$A1616=""),"",$C1615+N($E1614))</f>
      </c>
      <c r="F1615" s="13">
        <f>IF(NOT(ISNUMBER($E1615)),"",IF($E1615-$C1615&lt;0.8,"A",IF($E1615-$C1615&lt;0.95,"B","C")))</f>
      </c>
    </row>
    <row r="1616">
      <c r="E1616" s="12">
        <f>IF(OR(NOT(ISNUMBER($C1616)),$A1617=""),"",$C1616+N($E1615))</f>
      </c>
      <c r="F1616" s="13">
        <f>IF(NOT(ISNUMBER($E1616)),"",IF($E1616-$C1616&lt;0.8,"A",IF($E1616-$C1616&lt;0.95,"B","C")))</f>
      </c>
    </row>
    <row r="1617">
      <c r="E1617" s="12">
        <f>IF(OR(NOT(ISNUMBER($C1617)),$A1618=""),"",$C1617+N($E1616))</f>
      </c>
      <c r="F1617" s="13">
        <f>IF(NOT(ISNUMBER($E1617)),"",IF($E1617-$C1617&lt;0.8,"A",IF($E1617-$C1617&lt;0.95,"B","C")))</f>
      </c>
    </row>
    <row r="1618">
      <c r="E1618" s="12">
        <f>IF(OR(NOT(ISNUMBER($C1618)),$A1619=""),"",$C1618+N($E1617))</f>
      </c>
      <c r="F1618" s="13">
        <f>IF(NOT(ISNUMBER($E1618)),"",IF($E1618-$C1618&lt;0.8,"A",IF($E1618-$C1618&lt;0.95,"B","C")))</f>
      </c>
    </row>
    <row r="1619">
      <c r="E1619" s="12">
        <f>IF(OR(NOT(ISNUMBER($C1619)),$A1620=""),"",$C1619+N($E1618))</f>
      </c>
      <c r="F1619" s="13">
        <f>IF(NOT(ISNUMBER($E1619)),"",IF($E1619-$C1619&lt;0.8,"A",IF($E1619-$C1619&lt;0.95,"B","C")))</f>
      </c>
    </row>
    <row r="1620">
      <c r="E1620" s="12">
        <f>IF(OR(NOT(ISNUMBER($C1620)),$A1621=""),"",$C1620+N($E1619))</f>
      </c>
      <c r="F1620" s="13">
        <f>IF(NOT(ISNUMBER($E1620)),"",IF($E1620-$C1620&lt;0.8,"A",IF($E1620-$C1620&lt;0.95,"B","C")))</f>
      </c>
    </row>
    <row r="1621">
      <c r="E1621" s="12">
        <f>IF(OR(NOT(ISNUMBER($C1621)),$A1622=""),"",$C1621+N($E1620))</f>
      </c>
      <c r="F1621" s="13">
        <f>IF(NOT(ISNUMBER($E1621)),"",IF($E1621-$C1621&lt;0.8,"A",IF($E1621-$C1621&lt;0.95,"B","C")))</f>
      </c>
    </row>
    <row r="1622">
      <c r="E1622" s="12">
        <f>IF(OR(NOT(ISNUMBER($C1622)),$A1623=""),"",$C1622+N($E1621))</f>
      </c>
      <c r="F1622" s="13">
        <f>IF(NOT(ISNUMBER($E1622)),"",IF($E1622-$C1622&lt;0.8,"A",IF($E1622-$C1622&lt;0.95,"B","C")))</f>
      </c>
    </row>
    <row r="1623">
      <c r="E1623" s="12">
        <f>IF(OR(NOT(ISNUMBER($C1623)),$A1624=""),"",$C1623+N($E1622))</f>
      </c>
      <c r="F1623" s="13">
        <f>IF(NOT(ISNUMBER($E1623)),"",IF($E1623-$C1623&lt;0.8,"A",IF($E1623-$C1623&lt;0.95,"B","C")))</f>
      </c>
    </row>
    <row r="1624">
      <c r="E1624" s="12">
        <f>IF(OR(NOT(ISNUMBER($C1624)),$A1625=""),"",$C1624+N($E1623))</f>
      </c>
      <c r="F1624" s="13">
        <f>IF(NOT(ISNUMBER($E1624)),"",IF($E1624-$C1624&lt;0.8,"A",IF($E1624-$C1624&lt;0.95,"B","C")))</f>
      </c>
    </row>
    <row r="1625">
      <c r="E1625" s="12">
        <f>IF(OR(NOT(ISNUMBER($C1625)),$A1626=""),"",$C1625+N($E1624))</f>
      </c>
      <c r="F1625" s="13">
        <f>IF(NOT(ISNUMBER($E1625)),"",IF($E1625-$C1625&lt;0.8,"A",IF($E1625-$C1625&lt;0.95,"B","C")))</f>
      </c>
    </row>
    <row r="1626">
      <c r="E1626" s="12">
        <f>IF(OR(NOT(ISNUMBER($C1626)),$A1627=""),"",$C1626+N($E1625))</f>
      </c>
      <c r="F1626" s="13">
        <f>IF(NOT(ISNUMBER($E1626)),"",IF($E1626-$C1626&lt;0.8,"A",IF($E1626-$C1626&lt;0.95,"B","C")))</f>
      </c>
    </row>
    <row r="1627">
      <c r="E1627" s="12">
        <f>IF(OR(NOT(ISNUMBER($C1627)),$A1628=""),"",$C1627+N($E1626))</f>
      </c>
      <c r="F1627" s="13">
        <f>IF(NOT(ISNUMBER($E1627)),"",IF($E1627-$C1627&lt;0.8,"A",IF($E1627-$C1627&lt;0.95,"B","C")))</f>
      </c>
    </row>
    <row r="1628">
      <c r="E1628" s="12">
        <f>IF(OR(NOT(ISNUMBER($C1628)),$A1629=""),"",$C1628+N($E1627))</f>
      </c>
      <c r="F1628" s="13">
        <f>IF(NOT(ISNUMBER($E1628)),"",IF($E1628-$C1628&lt;0.8,"A",IF($E1628-$C1628&lt;0.95,"B","C")))</f>
      </c>
    </row>
    <row r="1629">
      <c r="E1629" s="12">
        <f>IF(OR(NOT(ISNUMBER($C1629)),$A1630=""),"",$C1629+N($E1628))</f>
      </c>
      <c r="F1629" s="13">
        <f>IF(NOT(ISNUMBER($E1629)),"",IF($E1629-$C1629&lt;0.8,"A",IF($E1629-$C1629&lt;0.95,"B","C")))</f>
      </c>
    </row>
    <row r="1630">
      <c r="E1630" s="12">
        <f>IF(OR(NOT(ISNUMBER($C1630)),$A1631=""),"",$C1630+N($E1629))</f>
      </c>
      <c r="F1630" s="13">
        <f>IF(NOT(ISNUMBER($E1630)),"",IF($E1630-$C1630&lt;0.8,"A",IF($E1630-$C1630&lt;0.95,"B","C")))</f>
      </c>
    </row>
    <row r="1631">
      <c r="E1631" s="12">
        <f>IF(OR(NOT(ISNUMBER($C1631)),$A1632=""),"",$C1631+N($E1630))</f>
      </c>
      <c r="F1631" s="13">
        <f>IF(NOT(ISNUMBER($E1631)),"",IF($E1631-$C1631&lt;0.8,"A",IF($E1631-$C1631&lt;0.95,"B","C")))</f>
      </c>
    </row>
    <row r="1632">
      <c r="E1632" s="12">
        <f>IF(OR(NOT(ISNUMBER($C1632)),$A1633=""),"",$C1632+N($E1631))</f>
      </c>
      <c r="F1632" s="13">
        <f>IF(NOT(ISNUMBER($E1632)),"",IF($E1632-$C1632&lt;0.8,"A",IF($E1632-$C1632&lt;0.95,"B","C")))</f>
      </c>
    </row>
    <row r="1633">
      <c r="E1633" s="12">
        <f>IF(OR(NOT(ISNUMBER($C1633)),$A1634=""),"",$C1633+N($E1632))</f>
      </c>
      <c r="F1633" s="13">
        <f>IF(NOT(ISNUMBER($E1633)),"",IF($E1633-$C1633&lt;0.8,"A",IF($E1633-$C1633&lt;0.95,"B","C")))</f>
      </c>
    </row>
    <row r="1634">
      <c r="E1634" s="12">
        <f>IF(OR(NOT(ISNUMBER($C1634)),$A1635=""),"",$C1634+N($E1633))</f>
      </c>
      <c r="F1634" s="13">
        <f>IF(NOT(ISNUMBER($E1634)),"",IF($E1634-$C1634&lt;0.8,"A",IF($E1634-$C1634&lt;0.95,"B","C")))</f>
      </c>
    </row>
    <row r="1635">
      <c r="E1635" s="12">
        <f>IF(OR(NOT(ISNUMBER($C1635)),$A1636=""),"",$C1635+N($E1634))</f>
      </c>
      <c r="F1635" s="13">
        <f>IF(NOT(ISNUMBER($E1635)),"",IF($E1635-$C1635&lt;0.8,"A",IF($E1635-$C1635&lt;0.95,"B","C")))</f>
      </c>
    </row>
    <row r="1636">
      <c r="E1636" s="12">
        <f>IF(OR(NOT(ISNUMBER($C1636)),$A1637=""),"",$C1636+N($E1635))</f>
      </c>
      <c r="F1636" s="13">
        <f>IF(NOT(ISNUMBER($E1636)),"",IF($E1636-$C1636&lt;0.8,"A",IF($E1636-$C1636&lt;0.95,"B","C")))</f>
      </c>
    </row>
    <row r="1637">
      <c r="E1637" s="12">
        <f>IF(OR(NOT(ISNUMBER($C1637)),$A1638=""),"",$C1637+N($E1636))</f>
      </c>
      <c r="F1637" s="13">
        <f>IF(NOT(ISNUMBER($E1637)),"",IF($E1637-$C1637&lt;0.8,"A",IF($E1637-$C1637&lt;0.95,"B","C")))</f>
      </c>
    </row>
    <row r="1638">
      <c r="E1638" s="12">
        <f>IF(OR(NOT(ISNUMBER($C1638)),$A1639=""),"",$C1638+N($E1637))</f>
      </c>
      <c r="F1638" s="13">
        <f>IF(NOT(ISNUMBER($E1638)),"",IF($E1638-$C1638&lt;0.8,"A",IF($E1638-$C1638&lt;0.95,"B","C")))</f>
      </c>
    </row>
    <row r="1639">
      <c r="E1639" s="12">
        <f>IF(OR(NOT(ISNUMBER($C1639)),$A1640=""),"",$C1639+N($E1638))</f>
      </c>
      <c r="F1639" s="13">
        <f>IF(NOT(ISNUMBER($E1639)),"",IF($E1639-$C1639&lt;0.8,"A",IF($E1639-$C1639&lt;0.95,"B","C")))</f>
      </c>
    </row>
    <row r="1640">
      <c r="E1640" s="12">
        <f>IF(OR(NOT(ISNUMBER($C1640)),$A1641=""),"",$C1640+N($E1639))</f>
      </c>
      <c r="F1640" s="13">
        <f>IF(NOT(ISNUMBER($E1640)),"",IF($E1640-$C1640&lt;0.8,"A",IF($E1640-$C1640&lt;0.95,"B","C")))</f>
      </c>
    </row>
    <row r="1641">
      <c r="E1641" s="12">
        <f>IF(OR(NOT(ISNUMBER($C1641)),$A1642=""),"",$C1641+N($E1640))</f>
      </c>
      <c r="F1641" s="13">
        <f>IF(NOT(ISNUMBER($E1641)),"",IF($E1641-$C1641&lt;0.8,"A",IF($E1641-$C1641&lt;0.95,"B","C")))</f>
      </c>
    </row>
    <row r="1642">
      <c r="E1642" s="12">
        <f>IF(OR(NOT(ISNUMBER($C1642)),$A1643=""),"",$C1642+N($E1641))</f>
      </c>
      <c r="F1642" s="13">
        <f>IF(NOT(ISNUMBER($E1642)),"",IF($E1642-$C1642&lt;0.8,"A",IF($E1642-$C1642&lt;0.95,"B","C")))</f>
      </c>
    </row>
    <row r="1643">
      <c r="E1643" s="12">
        <f>IF(OR(NOT(ISNUMBER($C1643)),$A1644=""),"",$C1643+N($E1642))</f>
      </c>
      <c r="F1643" s="13">
        <f>IF(NOT(ISNUMBER($E1643)),"",IF($E1643-$C1643&lt;0.8,"A",IF($E1643-$C1643&lt;0.95,"B","C")))</f>
      </c>
    </row>
    <row r="1644">
      <c r="E1644" s="12">
        <f>IF(OR(NOT(ISNUMBER($C1644)),$A1645=""),"",$C1644+N($E1643))</f>
      </c>
      <c r="F1644" s="13">
        <f>IF(NOT(ISNUMBER($E1644)),"",IF($E1644-$C1644&lt;0.8,"A",IF($E1644-$C1644&lt;0.95,"B","C")))</f>
      </c>
    </row>
    <row r="1645">
      <c r="E1645" s="12">
        <f>IF(OR(NOT(ISNUMBER($C1645)),$A1646=""),"",$C1645+N($E1644))</f>
      </c>
      <c r="F1645" s="13">
        <f>IF(NOT(ISNUMBER($E1645)),"",IF($E1645-$C1645&lt;0.8,"A",IF($E1645-$C1645&lt;0.95,"B","C")))</f>
      </c>
    </row>
    <row r="1646">
      <c r="E1646" s="12">
        <f>IF(OR(NOT(ISNUMBER($C1646)),$A1647=""),"",$C1646+N($E1645))</f>
      </c>
      <c r="F1646" s="13">
        <f>IF(NOT(ISNUMBER($E1646)),"",IF($E1646-$C1646&lt;0.8,"A",IF($E1646-$C1646&lt;0.95,"B","C")))</f>
      </c>
    </row>
    <row r="1647">
      <c r="E1647" s="12">
        <f>IF(OR(NOT(ISNUMBER($C1647)),$A1648=""),"",$C1647+N($E1646))</f>
      </c>
      <c r="F1647" s="13">
        <f>IF(NOT(ISNUMBER($E1647)),"",IF($E1647-$C1647&lt;0.8,"A",IF($E1647-$C1647&lt;0.95,"B","C")))</f>
      </c>
    </row>
    <row r="1648">
      <c r="E1648" s="12">
        <f>IF(OR(NOT(ISNUMBER($C1648)),$A1649=""),"",$C1648+N($E1647))</f>
      </c>
      <c r="F1648" s="13">
        <f>IF(NOT(ISNUMBER($E1648)),"",IF($E1648-$C1648&lt;0.8,"A",IF($E1648-$C1648&lt;0.95,"B","C")))</f>
      </c>
    </row>
    <row r="1649">
      <c r="E1649" s="12">
        <f>IF(OR(NOT(ISNUMBER($C1649)),$A1650=""),"",$C1649+N($E1648))</f>
      </c>
      <c r="F1649" s="13">
        <f>IF(NOT(ISNUMBER($E1649)),"",IF($E1649-$C1649&lt;0.8,"A",IF($E1649-$C1649&lt;0.95,"B","C")))</f>
      </c>
    </row>
    <row r="1650">
      <c r="E1650" s="12">
        <f>IF(OR(NOT(ISNUMBER($C1650)),$A1651=""),"",$C1650+N($E1649))</f>
      </c>
      <c r="F1650" s="13">
        <f>IF(NOT(ISNUMBER($E1650)),"",IF($E1650-$C1650&lt;0.8,"A",IF($E1650-$C1650&lt;0.95,"B","C")))</f>
      </c>
    </row>
    <row r="1651">
      <c r="E1651" s="12">
        <f>IF(OR(NOT(ISNUMBER($C1651)),$A1652=""),"",$C1651+N($E1650))</f>
      </c>
      <c r="F1651" s="13">
        <f>IF(NOT(ISNUMBER($E1651)),"",IF($E1651-$C1651&lt;0.8,"A",IF($E1651-$C1651&lt;0.95,"B","C")))</f>
      </c>
    </row>
    <row r="1652">
      <c r="E1652" s="12">
        <f>IF(OR(NOT(ISNUMBER($C1652)),$A1653=""),"",$C1652+N($E1651))</f>
      </c>
      <c r="F1652" s="13">
        <f>IF(NOT(ISNUMBER($E1652)),"",IF($E1652-$C1652&lt;0.8,"A",IF($E1652-$C1652&lt;0.95,"B","C")))</f>
      </c>
    </row>
    <row r="1653">
      <c r="E1653" s="12">
        <f>IF(OR(NOT(ISNUMBER($C1653)),$A1654=""),"",$C1653+N($E1652))</f>
      </c>
      <c r="F1653" s="13">
        <f>IF(NOT(ISNUMBER($E1653)),"",IF($E1653-$C1653&lt;0.8,"A",IF($E1653-$C1653&lt;0.95,"B","C")))</f>
      </c>
    </row>
    <row r="1654">
      <c r="E1654" s="12">
        <f>IF(OR(NOT(ISNUMBER($C1654)),$A1655=""),"",$C1654+N($E1653))</f>
      </c>
      <c r="F1654" s="13">
        <f>IF(NOT(ISNUMBER($E1654)),"",IF($E1654-$C1654&lt;0.8,"A",IF($E1654-$C1654&lt;0.95,"B","C")))</f>
      </c>
    </row>
    <row r="1655">
      <c r="E1655" s="12">
        <f>IF(OR(NOT(ISNUMBER($C1655)),$A1656=""),"",$C1655+N($E1654))</f>
      </c>
      <c r="F1655" s="13">
        <f>IF(NOT(ISNUMBER($E1655)),"",IF($E1655-$C1655&lt;0.8,"A",IF($E1655-$C1655&lt;0.95,"B","C")))</f>
      </c>
    </row>
    <row r="1656">
      <c r="E1656" s="12">
        <f>IF(OR(NOT(ISNUMBER($C1656)),$A1657=""),"",$C1656+N($E1655))</f>
      </c>
      <c r="F1656" s="13">
        <f>IF(NOT(ISNUMBER($E1656)),"",IF($E1656-$C1656&lt;0.8,"A",IF($E1656-$C1656&lt;0.95,"B","C")))</f>
      </c>
    </row>
    <row r="1657">
      <c r="E1657" s="12">
        <f>IF(OR(NOT(ISNUMBER($C1657)),$A1658=""),"",$C1657+N($E1656))</f>
      </c>
      <c r="F1657" s="13">
        <f>IF(NOT(ISNUMBER($E1657)),"",IF($E1657-$C1657&lt;0.8,"A",IF($E1657-$C1657&lt;0.95,"B","C")))</f>
      </c>
    </row>
    <row r="1658">
      <c r="E1658" s="12">
        <f>IF(OR(NOT(ISNUMBER($C1658)),$A1659=""),"",$C1658+N($E1657))</f>
      </c>
      <c r="F1658" s="13">
        <f>IF(NOT(ISNUMBER($E1658)),"",IF($E1658-$C1658&lt;0.8,"A",IF($E1658-$C1658&lt;0.95,"B","C")))</f>
      </c>
    </row>
    <row r="1659">
      <c r="E1659" s="12">
        <f>IF(OR(NOT(ISNUMBER($C1659)),$A1660=""),"",$C1659+N($E1658))</f>
      </c>
      <c r="F1659" s="13">
        <f>IF(NOT(ISNUMBER($E1659)),"",IF($E1659-$C1659&lt;0.8,"A",IF($E1659-$C1659&lt;0.95,"B","C")))</f>
      </c>
    </row>
    <row r="1660">
      <c r="E1660" s="12">
        <f>IF(OR(NOT(ISNUMBER($C1660)),$A1661=""),"",$C1660+N($E1659))</f>
      </c>
      <c r="F1660" s="13">
        <f>IF(NOT(ISNUMBER($E1660)),"",IF($E1660-$C1660&lt;0.8,"A",IF($E1660-$C1660&lt;0.95,"B","C")))</f>
      </c>
    </row>
    <row r="1661">
      <c r="E1661" s="12">
        <f>IF(OR(NOT(ISNUMBER($C1661)),$A1662=""),"",$C1661+N($E1660))</f>
      </c>
      <c r="F1661" s="13">
        <f>IF(NOT(ISNUMBER($E1661)),"",IF($E1661-$C1661&lt;0.8,"A",IF($E1661-$C1661&lt;0.95,"B","C")))</f>
      </c>
    </row>
    <row r="1662">
      <c r="E1662" s="12">
        <f>IF(OR(NOT(ISNUMBER($C1662)),$A1663=""),"",$C1662+N($E1661))</f>
      </c>
      <c r="F1662" s="13">
        <f>IF(NOT(ISNUMBER($E1662)),"",IF($E1662-$C1662&lt;0.8,"A",IF($E1662-$C1662&lt;0.95,"B","C")))</f>
      </c>
    </row>
    <row r="1663">
      <c r="E1663" s="12">
        <f>IF(OR(NOT(ISNUMBER($C1663)),$A1664=""),"",$C1663+N($E1662))</f>
      </c>
      <c r="F1663" s="13">
        <f>IF(NOT(ISNUMBER($E1663)),"",IF($E1663-$C1663&lt;0.8,"A",IF($E1663-$C1663&lt;0.95,"B","C")))</f>
      </c>
    </row>
    <row r="1664">
      <c r="E1664" s="12">
        <f>IF(OR(NOT(ISNUMBER($C1664)),$A1665=""),"",$C1664+N($E1663))</f>
      </c>
      <c r="F1664" s="13">
        <f>IF(NOT(ISNUMBER($E1664)),"",IF($E1664-$C1664&lt;0.8,"A",IF($E1664-$C1664&lt;0.95,"B","C")))</f>
      </c>
    </row>
    <row r="1665">
      <c r="E1665" s="12">
        <f>IF(OR(NOT(ISNUMBER($C1665)),$A1666=""),"",$C1665+N($E1664))</f>
      </c>
      <c r="F1665" s="13">
        <f>IF(NOT(ISNUMBER($E1665)),"",IF($E1665-$C1665&lt;0.8,"A",IF($E1665-$C1665&lt;0.95,"B","C")))</f>
      </c>
    </row>
    <row r="1666">
      <c r="E1666" s="12">
        <f>IF(OR(NOT(ISNUMBER($C1666)),$A1667=""),"",$C1666+N($E1665))</f>
      </c>
      <c r="F1666" s="13">
        <f>IF(NOT(ISNUMBER($E1666)),"",IF($E1666-$C1666&lt;0.8,"A",IF($E1666-$C1666&lt;0.95,"B","C")))</f>
      </c>
    </row>
    <row r="1667">
      <c r="E1667" s="12">
        <f>IF(OR(NOT(ISNUMBER($C1667)),$A1668=""),"",$C1667+N($E1666))</f>
      </c>
      <c r="F1667" s="13">
        <f>IF(NOT(ISNUMBER($E1667)),"",IF($E1667-$C1667&lt;0.8,"A",IF($E1667-$C1667&lt;0.95,"B","C")))</f>
      </c>
    </row>
    <row r="1668">
      <c r="E1668" s="12">
        <f>IF(OR(NOT(ISNUMBER($C1668)),$A1669=""),"",$C1668+N($E1667))</f>
      </c>
      <c r="F1668" s="13">
        <f>IF(NOT(ISNUMBER($E1668)),"",IF($E1668-$C1668&lt;0.8,"A",IF($E1668-$C1668&lt;0.95,"B","C")))</f>
      </c>
    </row>
    <row r="1669">
      <c r="E1669" s="12">
        <f>IF(OR(NOT(ISNUMBER($C1669)),$A1670=""),"",$C1669+N($E1668))</f>
      </c>
      <c r="F1669" s="13">
        <f>IF(NOT(ISNUMBER($E1669)),"",IF($E1669-$C1669&lt;0.8,"A",IF($E1669-$C1669&lt;0.95,"B","C")))</f>
      </c>
    </row>
    <row r="1670">
      <c r="E1670" s="12">
        <f>IF(OR(NOT(ISNUMBER($C1670)),$A1671=""),"",$C1670+N($E1669))</f>
      </c>
      <c r="F1670" s="13">
        <f>IF(NOT(ISNUMBER($E1670)),"",IF($E1670-$C1670&lt;0.8,"A",IF($E1670-$C1670&lt;0.95,"B","C")))</f>
      </c>
    </row>
    <row r="1671">
      <c r="E1671" s="12">
        <f>IF(OR(NOT(ISNUMBER($C1671)),$A1672=""),"",$C1671+N($E1670))</f>
      </c>
      <c r="F1671" s="13">
        <f>IF(NOT(ISNUMBER($E1671)),"",IF($E1671-$C1671&lt;0.8,"A",IF($E1671-$C1671&lt;0.95,"B","C")))</f>
      </c>
    </row>
    <row r="1672">
      <c r="E1672" s="12">
        <f>IF(OR(NOT(ISNUMBER($C1672)),$A1673=""),"",$C1672+N($E1671))</f>
      </c>
      <c r="F1672" s="13">
        <f>IF(NOT(ISNUMBER($E1672)),"",IF($E1672-$C1672&lt;0.8,"A",IF($E1672-$C1672&lt;0.95,"B","C")))</f>
      </c>
    </row>
    <row r="1673">
      <c r="E1673" s="12">
        <f>IF(OR(NOT(ISNUMBER($C1673)),$A1674=""),"",$C1673+N($E1672))</f>
      </c>
      <c r="F1673" s="13">
        <f>IF(NOT(ISNUMBER($E1673)),"",IF($E1673-$C1673&lt;0.8,"A",IF($E1673-$C1673&lt;0.95,"B","C")))</f>
      </c>
    </row>
    <row r="1674">
      <c r="E1674" s="12">
        <f>IF(OR(NOT(ISNUMBER($C1674)),$A1675=""),"",$C1674+N($E1673))</f>
      </c>
      <c r="F1674" s="13">
        <f>IF(NOT(ISNUMBER($E1674)),"",IF($E1674-$C1674&lt;0.8,"A",IF($E1674-$C1674&lt;0.95,"B","C")))</f>
      </c>
    </row>
    <row r="1675">
      <c r="E1675" s="12">
        <f>IF(OR(NOT(ISNUMBER($C1675)),$A1676=""),"",$C1675+N($E1674))</f>
      </c>
      <c r="F1675" s="13">
        <f>IF(NOT(ISNUMBER($E1675)),"",IF($E1675-$C1675&lt;0.8,"A",IF($E1675-$C1675&lt;0.95,"B","C")))</f>
      </c>
    </row>
    <row r="1676">
      <c r="E1676" s="12">
        <f>IF(OR(NOT(ISNUMBER($C1676)),$A1677=""),"",$C1676+N($E1675))</f>
      </c>
      <c r="F1676" s="13">
        <f>IF(NOT(ISNUMBER($E1676)),"",IF($E1676-$C1676&lt;0.8,"A",IF($E1676-$C1676&lt;0.95,"B","C")))</f>
      </c>
    </row>
    <row r="1677">
      <c r="E1677" s="12">
        <f>IF(OR(NOT(ISNUMBER($C1677)),$A1678=""),"",$C1677+N($E1676))</f>
      </c>
      <c r="F1677" s="13">
        <f>IF(NOT(ISNUMBER($E1677)),"",IF($E1677-$C1677&lt;0.8,"A",IF($E1677-$C1677&lt;0.95,"B","C")))</f>
      </c>
    </row>
    <row r="1678">
      <c r="E1678" s="12">
        <f>IF(OR(NOT(ISNUMBER($C1678)),$A1679=""),"",$C1678+N($E1677))</f>
      </c>
      <c r="F1678" s="13">
        <f>IF(NOT(ISNUMBER($E1678)),"",IF($E1678-$C1678&lt;0.8,"A",IF($E1678-$C1678&lt;0.95,"B","C")))</f>
      </c>
    </row>
    <row r="1679">
      <c r="E1679" s="12">
        <f>IF(OR(NOT(ISNUMBER($C1679)),$A1680=""),"",$C1679+N($E1678))</f>
      </c>
      <c r="F1679" s="13">
        <f>IF(NOT(ISNUMBER($E1679)),"",IF($E1679-$C1679&lt;0.8,"A",IF($E1679-$C1679&lt;0.95,"B","C")))</f>
      </c>
    </row>
    <row r="1680">
      <c r="E1680" s="12">
        <f>IF(OR(NOT(ISNUMBER($C1680)),$A1681=""),"",$C1680+N($E1679))</f>
      </c>
      <c r="F1680" s="13">
        <f>IF(NOT(ISNUMBER($E1680)),"",IF($E1680-$C1680&lt;0.8,"A",IF($E1680-$C1680&lt;0.95,"B","C")))</f>
      </c>
    </row>
    <row r="1681">
      <c r="E1681" s="12">
        <f>IF(OR(NOT(ISNUMBER($C1681)),$A1682=""),"",$C1681+N($E1680))</f>
      </c>
      <c r="F1681" s="13">
        <f>IF(NOT(ISNUMBER($E1681)),"",IF($E1681-$C1681&lt;0.8,"A",IF($E1681-$C1681&lt;0.95,"B","C")))</f>
      </c>
    </row>
    <row r="1682">
      <c r="E1682" s="12">
        <f>IF(OR(NOT(ISNUMBER($C1682)),$A1683=""),"",$C1682+N($E1681))</f>
      </c>
      <c r="F1682" s="13">
        <f>IF(NOT(ISNUMBER($E1682)),"",IF($E1682-$C1682&lt;0.8,"A",IF($E1682-$C1682&lt;0.95,"B","C")))</f>
      </c>
    </row>
    <row r="1683">
      <c r="E1683" s="12">
        <f>IF(OR(NOT(ISNUMBER($C1683)),$A1684=""),"",$C1683+N($E1682))</f>
      </c>
      <c r="F1683" s="13">
        <f>IF(NOT(ISNUMBER($E1683)),"",IF($E1683-$C1683&lt;0.8,"A",IF($E1683-$C1683&lt;0.95,"B","C")))</f>
      </c>
    </row>
    <row r="1684">
      <c r="E1684" s="12">
        <f>IF(OR(NOT(ISNUMBER($C1684)),$A1685=""),"",$C1684+N($E1683))</f>
      </c>
      <c r="F1684" s="13">
        <f>IF(NOT(ISNUMBER($E1684)),"",IF($E1684-$C1684&lt;0.8,"A",IF($E1684-$C1684&lt;0.95,"B","C")))</f>
      </c>
    </row>
    <row r="1685">
      <c r="E1685" s="12">
        <f>IF(OR(NOT(ISNUMBER($C1685)),$A1686=""),"",$C1685+N($E1684))</f>
      </c>
      <c r="F1685" s="13">
        <f>IF(NOT(ISNUMBER($E1685)),"",IF($E1685-$C1685&lt;0.8,"A",IF($E1685-$C1685&lt;0.95,"B","C")))</f>
      </c>
    </row>
    <row r="1686">
      <c r="E1686" s="12">
        <f>IF(OR(NOT(ISNUMBER($C1686)),$A1687=""),"",$C1686+N($E1685))</f>
      </c>
      <c r="F1686" s="13">
        <f>IF(NOT(ISNUMBER($E1686)),"",IF($E1686-$C1686&lt;0.8,"A",IF($E1686-$C1686&lt;0.95,"B","C")))</f>
      </c>
    </row>
    <row r="1687">
      <c r="E1687" s="12">
        <f>IF(OR(NOT(ISNUMBER($C1687)),$A1688=""),"",$C1687+N($E1686))</f>
      </c>
      <c r="F1687" s="13">
        <f>IF(NOT(ISNUMBER($E1687)),"",IF($E1687-$C1687&lt;0.8,"A",IF($E1687-$C1687&lt;0.95,"B","C")))</f>
      </c>
    </row>
    <row r="1688">
      <c r="E1688" s="12">
        <f>IF(OR(NOT(ISNUMBER($C1688)),$A1689=""),"",$C1688+N($E1687))</f>
      </c>
      <c r="F1688" s="13">
        <f>IF(NOT(ISNUMBER($E1688)),"",IF($E1688-$C1688&lt;0.8,"A",IF($E1688-$C1688&lt;0.95,"B","C")))</f>
      </c>
    </row>
    <row r="1689">
      <c r="E1689" s="12">
        <f>IF(OR(NOT(ISNUMBER($C1689)),$A1690=""),"",$C1689+N($E1688))</f>
      </c>
      <c r="F1689" s="13">
        <f>IF(NOT(ISNUMBER($E1689)),"",IF($E1689-$C1689&lt;0.8,"A",IF($E1689-$C1689&lt;0.95,"B","C")))</f>
      </c>
    </row>
    <row r="1690">
      <c r="E1690" s="12">
        <f>IF(OR(NOT(ISNUMBER($C1690)),$A1691=""),"",$C1690+N($E1689))</f>
      </c>
      <c r="F1690" s="13">
        <f>IF(NOT(ISNUMBER($E1690)),"",IF($E1690-$C1690&lt;0.8,"A",IF($E1690-$C1690&lt;0.95,"B","C")))</f>
      </c>
    </row>
    <row r="1691">
      <c r="E1691" s="12">
        <f>IF(OR(NOT(ISNUMBER($C1691)),$A1692=""),"",$C1691+N($E1690))</f>
      </c>
      <c r="F1691" s="13">
        <f>IF(NOT(ISNUMBER($E1691)),"",IF($E1691-$C1691&lt;0.8,"A",IF($E1691-$C1691&lt;0.95,"B","C")))</f>
      </c>
    </row>
    <row r="1692">
      <c r="E1692" s="12">
        <f>IF(OR(NOT(ISNUMBER($C1692)),$A1693=""),"",$C1692+N($E1691))</f>
      </c>
      <c r="F1692" s="13">
        <f>IF(NOT(ISNUMBER($E1692)),"",IF($E1692-$C1692&lt;0.8,"A",IF($E1692-$C1692&lt;0.95,"B","C")))</f>
      </c>
    </row>
    <row r="1693">
      <c r="E1693" s="12">
        <f>IF(OR(NOT(ISNUMBER($C1693)),$A1694=""),"",$C1693+N($E1692))</f>
      </c>
      <c r="F1693" s="13">
        <f>IF(NOT(ISNUMBER($E1693)),"",IF($E1693-$C1693&lt;0.8,"A",IF($E1693-$C1693&lt;0.95,"B","C")))</f>
      </c>
    </row>
    <row r="1694">
      <c r="E1694" s="12">
        <f>IF(OR(NOT(ISNUMBER($C1694)),$A1695=""),"",$C1694+N($E1693))</f>
      </c>
      <c r="F1694" s="13">
        <f>IF(NOT(ISNUMBER($E1694)),"",IF($E1694-$C1694&lt;0.8,"A",IF($E1694-$C1694&lt;0.95,"B","C")))</f>
      </c>
    </row>
    <row r="1695">
      <c r="E1695" s="12">
        <f>IF(OR(NOT(ISNUMBER($C1695)),$A1696=""),"",$C1695+N($E1694))</f>
      </c>
      <c r="F1695" s="13">
        <f>IF(NOT(ISNUMBER($E1695)),"",IF($E1695-$C1695&lt;0.8,"A",IF($E1695-$C1695&lt;0.95,"B","C")))</f>
      </c>
    </row>
    <row r="1696">
      <c r="E1696" s="12">
        <f>IF(OR(NOT(ISNUMBER($C1696)),$A1697=""),"",$C1696+N($E1695))</f>
      </c>
      <c r="F1696" s="13">
        <f>IF(NOT(ISNUMBER($E1696)),"",IF($E1696-$C1696&lt;0.8,"A",IF($E1696-$C1696&lt;0.95,"B","C")))</f>
      </c>
    </row>
    <row r="1697">
      <c r="E1697" s="12">
        <f>IF(OR(NOT(ISNUMBER($C1697)),$A1698=""),"",$C1697+N($E1696))</f>
      </c>
      <c r="F1697" s="13">
        <f>IF(NOT(ISNUMBER($E1697)),"",IF($E1697-$C1697&lt;0.8,"A",IF($E1697-$C1697&lt;0.95,"B","C")))</f>
      </c>
    </row>
    <row r="1698">
      <c r="E1698" s="12">
        <f>IF(OR(NOT(ISNUMBER($C1698)),$A1699=""),"",$C1698+N($E1697))</f>
      </c>
      <c r="F1698" s="13">
        <f>IF(NOT(ISNUMBER($E1698)),"",IF($E1698-$C1698&lt;0.8,"A",IF($E1698-$C1698&lt;0.95,"B","C")))</f>
      </c>
    </row>
    <row r="1699">
      <c r="E1699" s="12">
        <f>IF(OR(NOT(ISNUMBER($C1699)),$A1700=""),"",$C1699+N($E1698))</f>
      </c>
      <c r="F1699" s="13">
        <f>IF(NOT(ISNUMBER($E1699)),"",IF($E1699-$C1699&lt;0.8,"A",IF($E1699-$C1699&lt;0.95,"B","C")))</f>
      </c>
    </row>
    <row r="1700">
      <c r="E1700" s="12">
        <f>IF(OR(NOT(ISNUMBER($C1700)),$A1701=""),"",$C1700+N($E1699))</f>
      </c>
      <c r="F1700" s="13">
        <f>IF(NOT(ISNUMBER($E1700)),"",IF($E1700-$C1700&lt;0.8,"A",IF($E1700-$C1700&lt;0.95,"B","C")))</f>
      </c>
    </row>
    <row r="1701">
      <c r="E1701" s="12">
        <f>IF(OR(NOT(ISNUMBER($C1701)),$A1702=""),"",$C1701+N($E1700))</f>
      </c>
      <c r="F1701" s="13">
        <f>IF(NOT(ISNUMBER($E1701)),"",IF($E1701-$C1701&lt;0.8,"A",IF($E1701-$C1701&lt;0.95,"B","C")))</f>
      </c>
    </row>
    <row r="1702">
      <c r="E1702" s="12">
        <f>IF(OR(NOT(ISNUMBER($C1702)),$A1703=""),"",$C1702+N($E1701))</f>
      </c>
      <c r="F1702" s="13">
        <f>IF(NOT(ISNUMBER($E1702)),"",IF($E1702-$C1702&lt;0.8,"A",IF($E1702-$C1702&lt;0.95,"B","C")))</f>
      </c>
    </row>
    <row r="1703">
      <c r="E1703" s="12">
        <f>IF(OR(NOT(ISNUMBER($C1703)),$A1704=""),"",$C1703+N($E1702))</f>
      </c>
      <c r="F1703" s="13">
        <f>IF(NOT(ISNUMBER($E1703)),"",IF($E1703-$C1703&lt;0.8,"A",IF($E1703-$C1703&lt;0.95,"B","C")))</f>
      </c>
    </row>
    <row r="1704">
      <c r="E1704" s="12">
        <f>IF(OR(NOT(ISNUMBER($C1704)),$A1705=""),"",$C1704+N($E1703))</f>
      </c>
      <c r="F1704" s="13">
        <f>IF(NOT(ISNUMBER($E1704)),"",IF($E1704-$C1704&lt;0.8,"A",IF($E1704-$C1704&lt;0.95,"B","C")))</f>
      </c>
    </row>
    <row r="1705">
      <c r="E1705" s="12">
        <f>IF(OR(NOT(ISNUMBER($C1705)),$A1706=""),"",$C1705+N($E1704))</f>
      </c>
      <c r="F1705" s="13">
        <f>IF(NOT(ISNUMBER($E1705)),"",IF($E1705-$C1705&lt;0.8,"A",IF($E1705-$C1705&lt;0.95,"B","C")))</f>
      </c>
    </row>
    <row r="1706">
      <c r="E1706" s="12">
        <f>IF(OR(NOT(ISNUMBER($C1706)),$A1707=""),"",$C1706+N($E1705))</f>
      </c>
      <c r="F1706" s="13">
        <f>IF(NOT(ISNUMBER($E1706)),"",IF($E1706-$C1706&lt;0.8,"A",IF($E1706-$C1706&lt;0.95,"B","C")))</f>
      </c>
    </row>
    <row r="1707">
      <c r="E1707" s="12">
        <f>IF(OR(NOT(ISNUMBER($C1707)),$A1708=""),"",$C1707+N($E1706))</f>
      </c>
      <c r="F1707" s="13">
        <f>IF(NOT(ISNUMBER($E1707)),"",IF($E1707-$C1707&lt;0.8,"A",IF($E1707-$C1707&lt;0.95,"B","C")))</f>
      </c>
    </row>
    <row r="1708">
      <c r="E1708" s="12">
        <f>IF(OR(NOT(ISNUMBER($C1708)),$A1709=""),"",$C1708+N($E1707))</f>
      </c>
      <c r="F1708" s="13">
        <f>IF(NOT(ISNUMBER($E1708)),"",IF($E1708-$C1708&lt;0.8,"A",IF($E1708-$C1708&lt;0.95,"B","C")))</f>
      </c>
    </row>
    <row r="1709">
      <c r="E1709" s="12">
        <f>IF(OR(NOT(ISNUMBER($C1709)),$A1710=""),"",$C1709+N($E1708))</f>
      </c>
      <c r="F1709" s="13">
        <f>IF(NOT(ISNUMBER($E1709)),"",IF($E1709-$C1709&lt;0.8,"A",IF($E1709-$C1709&lt;0.95,"B","C")))</f>
      </c>
    </row>
    <row r="1710">
      <c r="E1710" s="12">
        <f>IF(OR(NOT(ISNUMBER($C1710)),$A1711=""),"",$C1710+N($E1709))</f>
      </c>
      <c r="F1710" s="13">
        <f>IF(NOT(ISNUMBER($E1710)),"",IF($E1710-$C1710&lt;0.8,"A",IF($E1710-$C1710&lt;0.95,"B","C")))</f>
      </c>
    </row>
    <row r="1711">
      <c r="E1711" s="12">
        <f>IF(OR(NOT(ISNUMBER($C1711)),$A1712=""),"",$C1711+N($E1710))</f>
      </c>
      <c r="F1711" s="13">
        <f>IF(NOT(ISNUMBER($E1711)),"",IF($E1711-$C1711&lt;0.8,"A",IF($E1711-$C1711&lt;0.95,"B","C")))</f>
      </c>
    </row>
    <row r="1712">
      <c r="E1712" s="12">
        <f>IF(OR(NOT(ISNUMBER($C1712)),$A1713=""),"",$C1712+N($E1711))</f>
      </c>
      <c r="F1712" s="13">
        <f>IF(NOT(ISNUMBER($E1712)),"",IF($E1712-$C1712&lt;0.8,"A",IF($E1712-$C1712&lt;0.95,"B","C")))</f>
      </c>
    </row>
    <row r="1713">
      <c r="E1713" s="12">
        <f>IF(OR(NOT(ISNUMBER($C1713)),$A1714=""),"",$C1713+N($E1712))</f>
      </c>
      <c r="F1713" s="13">
        <f>IF(NOT(ISNUMBER($E1713)),"",IF($E1713-$C1713&lt;0.8,"A",IF($E1713-$C1713&lt;0.95,"B","C")))</f>
      </c>
    </row>
    <row r="1714">
      <c r="E1714" s="12">
        <f>IF(OR(NOT(ISNUMBER($C1714)),$A1715=""),"",$C1714+N($E1713))</f>
      </c>
      <c r="F1714" s="13">
        <f>IF(NOT(ISNUMBER($E1714)),"",IF($E1714-$C1714&lt;0.8,"A",IF($E1714-$C1714&lt;0.95,"B","C")))</f>
      </c>
    </row>
    <row r="1715">
      <c r="E1715" s="12">
        <f>IF(OR(NOT(ISNUMBER($C1715)),$A1716=""),"",$C1715+N($E1714))</f>
      </c>
      <c r="F1715" s="13">
        <f>IF(NOT(ISNUMBER($E1715)),"",IF($E1715-$C1715&lt;0.8,"A",IF($E1715-$C1715&lt;0.95,"B","C")))</f>
      </c>
    </row>
    <row r="1716">
      <c r="E1716" s="12">
        <f>IF(OR(NOT(ISNUMBER($C1716)),$A1717=""),"",$C1716+N($E1715))</f>
      </c>
      <c r="F1716" s="13">
        <f>IF(NOT(ISNUMBER($E1716)),"",IF($E1716-$C1716&lt;0.8,"A",IF($E1716-$C1716&lt;0.95,"B","C")))</f>
      </c>
    </row>
    <row r="1717">
      <c r="E1717" s="12">
        <f>IF(OR(NOT(ISNUMBER($C1717)),$A1718=""),"",$C1717+N($E1716))</f>
      </c>
      <c r="F1717" s="13">
        <f>IF(NOT(ISNUMBER($E1717)),"",IF($E1717-$C1717&lt;0.8,"A",IF($E1717-$C1717&lt;0.95,"B","C")))</f>
      </c>
    </row>
    <row r="1718">
      <c r="E1718" s="12">
        <f>IF(OR(NOT(ISNUMBER($C1718)),$A1719=""),"",$C1718+N($E1717))</f>
      </c>
      <c r="F1718" s="13">
        <f>IF(NOT(ISNUMBER($E1718)),"",IF($E1718-$C1718&lt;0.8,"A",IF($E1718-$C1718&lt;0.95,"B","C")))</f>
      </c>
    </row>
    <row r="1719">
      <c r="E1719" s="12">
        <f>IF(OR(NOT(ISNUMBER($C1719)),$A1720=""),"",$C1719+N($E1718))</f>
      </c>
      <c r="F1719" s="13">
        <f>IF(NOT(ISNUMBER($E1719)),"",IF($E1719-$C1719&lt;0.8,"A",IF($E1719-$C1719&lt;0.95,"B","C")))</f>
      </c>
    </row>
    <row r="1720">
      <c r="E1720" s="12">
        <f>IF(OR(NOT(ISNUMBER($C1720)),$A1721=""),"",$C1720+N($E1719))</f>
      </c>
      <c r="F1720" s="13">
        <f>IF(NOT(ISNUMBER($E1720)),"",IF($E1720-$C1720&lt;0.8,"A",IF($E1720-$C1720&lt;0.95,"B","C")))</f>
      </c>
    </row>
    <row r="1721">
      <c r="E1721" s="12">
        <f>IF(OR(NOT(ISNUMBER($C1721)),$A1722=""),"",$C1721+N($E1720))</f>
      </c>
      <c r="F1721" s="13">
        <f>IF(NOT(ISNUMBER($E1721)),"",IF($E1721-$C1721&lt;0.8,"A",IF($E1721-$C1721&lt;0.95,"B","C")))</f>
      </c>
    </row>
    <row r="1722">
      <c r="E1722" s="12">
        <f>IF(OR(NOT(ISNUMBER($C1722)),$A1723=""),"",$C1722+N($E1721))</f>
      </c>
      <c r="F1722" s="13">
        <f>IF(NOT(ISNUMBER($E1722)),"",IF($E1722-$C1722&lt;0.8,"A",IF($E1722-$C1722&lt;0.95,"B","C")))</f>
      </c>
    </row>
    <row r="1723">
      <c r="E1723" s="12">
        <f>IF(OR(NOT(ISNUMBER($C1723)),$A1724=""),"",$C1723+N($E1722))</f>
      </c>
      <c r="F1723" s="13">
        <f>IF(NOT(ISNUMBER($E1723)),"",IF($E1723-$C1723&lt;0.8,"A",IF($E1723-$C1723&lt;0.95,"B","C")))</f>
      </c>
    </row>
    <row r="1724">
      <c r="E1724" s="12">
        <f>IF(OR(NOT(ISNUMBER($C1724)),$A1725=""),"",$C1724+N($E1723))</f>
      </c>
      <c r="F1724" s="13">
        <f>IF(NOT(ISNUMBER($E1724)),"",IF($E1724-$C1724&lt;0.8,"A",IF($E1724-$C1724&lt;0.95,"B","C")))</f>
      </c>
    </row>
    <row r="1725">
      <c r="E1725" s="12">
        <f>IF(OR(NOT(ISNUMBER($C1725)),$A1726=""),"",$C1725+N($E1724))</f>
      </c>
      <c r="F1725" s="13">
        <f>IF(NOT(ISNUMBER($E1725)),"",IF($E1725-$C1725&lt;0.8,"A",IF($E1725-$C1725&lt;0.95,"B","C")))</f>
      </c>
    </row>
    <row r="1726">
      <c r="E1726" s="12">
        <f>IF(OR(NOT(ISNUMBER($C1726)),$A1727=""),"",$C1726+N($E1725))</f>
      </c>
      <c r="F1726" s="13">
        <f>IF(NOT(ISNUMBER($E1726)),"",IF($E1726-$C1726&lt;0.8,"A",IF($E1726-$C1726&lt;0.95,"B","C")))</f>
      </c>
    </row>
    <row r="1727">
      <c r="E1727" s="12">
        <f>IF(OR(NOT(ISNUMBER($C1727)),$A1728=""),"",$C1727+N($E1726))</f>
      </c>
      <c r="F1727" s="13">
        <f>IF(NOT(ISNUMBER($E1727)),"",IF($E1727-$C1727&lt;0.8,"A",IF($E1727-$C1727&lt;0.95,"B","C")))</f>
      </c>
    </row>
    <row r="1728">
      <c r="E1728" s="12">
        <f>IF(OR(NOT(ISNUMBER($C1728)),$A1729=""),"",$C1728+N($E1727))</f>
      </c>
      <c r="F1728" s="13">
        <f>IF(NOT(ISNUMBER($E1728)),"",IF($E1728-$C1728&lt;0.8,"A",IF($E1728-$C1728&lt;0.95,"B","C")))</f>
      </c>
    </row>
    <row r="1729">
      <c r="E1729" s="12">
        <f>IF(OR(NOT(ISNUMBER($C1729)),$A1730=""),"",$C1729+N($E1728))</f>
      </c>
      <c r="F1729" s="13">
        <f>IF(NOT(ISNUMBER($E1729)),"",IF($E1729-$C1729&lt;0.8,"A",IF($E1729-$C1729&lt;0.95,"B","C")))</f>
      </c>
    </row>
    <row r="1730">
      <c r="E1730" s="12">
        <f>IF(OR(NOT(ISNUMBER($C1730)),$A1731=""),"",$C1730+N($E1729))</f>
      </c>
      <c r="F1730" s="13">
        <f>IF(NOT(ISNUMBER($E1730)),"",IF($E1730-$C1730&lt;0.8,"A",IF($E1730-$C1730&lt;0.95,"B","C")))</f>
      </c>
    </row>
    <row r="1731">
      <c r="E1731" s="12">
        <f>IF(OR(NOT(ISNUMBER($C1731)),$A1732=""),"",$C1731+N($E1730))</f>
      </c>
      <c r="F1731" s="13">
        <f>IF(NOT(ISNUMBER($E1731)),"",IF($E1731-$C1731&lt;0.8,"A",IF($E1731-$C1731&lt;0.95,"B","C")))</f>
      </c>
    </row>
    <row r="1732">
      <c r="E1732" s="12">
        <f>IF(OR(NOT(ISNUMBER($C1732)),$A1733=""),"",$C1732+N($E1731))</f>
      </c>
      <c r="F1732" s="13">
        <f>IF(NOT(ISNUMBER($E1732)),"",IF($E1732-$C1732&lt;0.8,"A",IF($E1732-$C1732&lt;0.95,"B","C")))</f>
      </c>
    </row>
    <row r="1733">
      <c r="E1733" s="12">
        <f>IF(OR(NOT(ISNUMBER($C1733)),$A1734=""),"",$C1733+N($E1732))</f>
      </c>
      <c r="F1733" s="13">
        <f>IF(NOT(ISNUMBER($E1733)),"",IF($E1733-$C1733&lt;0.8,"A",IF($E1733-$C1733&lt;0.95,"B","C")))</f>
      </c>
    </row>
    <row r="1734">
      <c r="E1734" s="12">
        <f>IF(OR(NOT(ISNUMBER($C1734)),$A1735=""),"",$C1734+N($E1733))</f>
      </c>
      <c r="F1734" s="13">
        <f>IF(NOT(ISNUMBER($E1734)),"",IF($E1734-$C1734&lt;0.8,"A",IF($E1734-$C1734&lt;0.95,"B","C")))</f>
      </c>
    </row>
    <row r="1735">
      <c r="E1735" s="12">
        <f>IF(OR(NOT(ISNUMBER($C1735)),$A1736=""),"",$C1735+N($E1734))</f>
      </c>
      <c r="F1735" s="13">
        <f>IF(NOT(ISNUMBER($E1735)),"",IF($E1735-$C1735&lt;0.8,"A",IF($E1735-$C1735&lt;0.95,"B","C")))</f>
      </c>
    </row>
    <row r="1736">
      <c r="E1736" s="12">
        <f>IF(OR(NOT(ISNUMBER($C1736)),$A1737=""),"",$C1736+N($E1735))</f>
      </c>
      <c r="F1736" s="13">
        <f>IF(NOT(ISNUMBER($E1736)),"",IF($E1736-$C1736&lt;0.8,"A",IF($E1736-$C1736&lt;0.95,"B","C")))</f>
      </c>
    </row>
    <row r="1737">
      <c r="E1737" s="12">
        <f>IF(OR(NOT(ISNUMBER($C1737)),$A1738=""),"",$C1737+N($E1736))</f>
      </c>
      <c r="F1737" s="13">
        <f>IF(NOT(ISNUMBER($E1737)),"",IF($E1737-$C1737&lt;0.8,"A",IF($E1737-$C1737&lt;0.95,"B","C")))</f>
      </c>
    </row>
    <row r="1738">
      <c r="E1738" s="12">
        <f>IF(OR(NOT(ISNUMBER($C1738)),$A1739=""),"",$C1738+N($E1737))</f>
      </c>
      <c r="F1738" s="13">
        <f>IF(NOT(ISNUMBER($E1738)),"",IF($E1738-$C1738&lt;0.8,"A",IF($E1738-$C1738&lt;0.95,"B","C")))</f>
      </c>
    </row>
    <row r="1739">
      <c r="E1739" s="12">
        <f>IF(OR(NOT(ISNUMBER($C1739)),$A1740=""),"",$C1739+N($E1738))</f>
      </c>
      <c r="F1739" s="13">
        <f>IF(NOT(ISNUMBER($E1739)),"",IF($E1739-$C1739&lt;0.8,"A",IF($E1739-$C1739&lt;0.95,"B","C")))</f>
      </c>
    </row>
    <row r="1740">
      <c r="E1740" s="12">
        <f>IF(OR(NOT(ISNUMBER($C1740)),$A1741=""),"",$C1740+N($E1739))</f>
      </c>
      <c r="F1740" s="13">
        <f>IF(NOT(ISNUMBER($E1740)),"",IF($E1740-$C1740&lt;0.8,"A",IF($E1740-$C1740&lt;0.95,"B","C")))</f>
      </c>
    </row>
    <row r="1741">
      <c r="E1741" s="12">
        <f>IF(OR(NOT(ISNUMBER($C1741)),$A1742=""),"",$C1741+N($E1740))</f>
      </c>
      <c r="F1741" s="13">
        <f>IF(NOT(ISNUMBER($E1741)),"",IF($E1741-$C1741&lt;0.8,"A",IF($E1741-$C1741&lt;0.95,"B","C")))</f>
      </c>
    </row>
    <row r="1742">
      <c r="E1742" s="12">
        <f>IF(OR(NOT(ISNUMBER($C1742)),$A1743=""),"",$C1742+N($E1741))</f>
      </c>
      <c r="F1742" s="13">
        <f>IF(NOT(ISNUMBER($E1742)),"",IF($E1742-$C1742&lt;0.8,"A",IF($E1742-$C1742&lt;0.95,"B","C")))</f>
      </c>
    </row>
    <row r="1743">
      <c r="E1743" s="12">
        <f>IF(OR(NOT(ISNUMBER($C1743)),$A1744=""),"",$C1743+N($E1742))</f>
      </c>
      <c r="F1743" s="13">
        <f>IF(NOT(ISNUMBER($E1743)),"",IF($E1743-$C1743&lt;0.8,"A",IF($E1743-$C1743&lt;0.95,"B","C")))</f>
      </c>
    </row>
    <row r="1744">
      <c r="E1744" s="12">
        <f>IF(OR(NOT(ISNUMBER($C1744)),$A1745=""),"",$C1744+N($E1743))</f>
      </c>
      <c r="F1744" s="13">
        <f>IF(NOT(ISNUMBER($E1744)),"",IF($E1744-$C1744&lt;0.8,"A",IF($E1744-$C1744&lt;0.95,"B","C")))</f>
      </c>
    </row>
    <row r="1745">
      <c r="E1745" s="12">
        <f>IF(OR(NOT(ISNUMBER($C1745)),$A1746=""),"",$C1745+N($E1744))</f>
      </c>
      <c r="F1745" s="13">
        <f>IF(NOT(ISNUMBER($E1745)),"",IF($E1745-$C1745&lt;0.8,"A",IF($E1745-$C1745&lt;0.95,"B","C")))</f>
      </c>
    </row>
    <row r="1746">
      <c r="E1746" s="12">
        <f>IF(OR(NOT(ISNUMBER($C1746)),$A1747=""),"",$C1746+N($E1745))</f>
      </c>
      <c r="F1746" s="13">
        <f>IF(NOT(ISNUMBER($E1746)),"",IF($E1746-$C1746&lt;0.8,"A",IF($E1746-$C1746&lt;0.95,"B","C")))</f>
      </c>
    </row>
    <row r="1747">
      <c r="E1747" s="12">
        <f>IF(OR(NOT(ISNUMBER($C1747)),$A1748=""),"",$C1747+N($E1746))</f>
      </c>
      <c r="F1747" s="13">
        <f>IF(NOT(ISNUMBER($E1747)),"",IF($E1747-$C1747&lt;0.8,"A",IF($E1747-$C1747&lt;0.95,"B","C")))</f>
      </c>
    </row>
    <row r="1748">
      <c r="E1748" s="12">
        <f>IF(OR(NOT(ISNUMBER($C1748)),$A1749=""),"",$C1748+N($E1747))</f>
      </c>
      <c r="F1748" s="13">
        <f>IF(NOT(ISNUMBER($E1748)),"",IF($E1748-$C1748&lt;0.8,"A",IF($E1748-$C1748&lt;0.95,"B","C")))</f>
      </c>
    </row>
    <row r="1749">
      <c r="E1749" s="12">
        <f>IF(OR(NOT(ISNUMBER($C1749)),$A1750=""),"",$C1749+N($E1748))</f>
      </c>
      <c r="F1749" s="13">
        <f>IF(NOT(ISNUMBER($E1749)),"",IF($E1749-$C1749&lt;0.8,"A",IF($E1749-$C1749&lt;0.95,"B","C")))</f>
      </c>
    </row>
    <row r="1750">
      <c r="E1750" s="12">
        <f>IF(OR(NOT(ISNUMBER($C1750)),$A1751=""),"",$C1750+N($E1749))</f>
      </c>
      <c r="F1750" s="13">
        <f>IF(NOT(ISNUMBER($E1750)),"",IF($E1750-$C1750&lt;0.8,"A",IF($E1750-$C1750&lt;0.95,"B","C")))</f>
      </c>
    </row>
    <row r="1751">
      <c r="E1751" s="12">
        <f>IF(OR(NOT(ISNUMBER($C1751)),$A1752=""),"",$C1751+N($E1750))</f>
      </c>
      <c r="F1751" s="13">
        <f>IF(NOT(ISNUMBER($E1751)),"",IF($E1751-$C1751&lt;0.8,"A",IF($E1751-$C1751&lt;0.95,"B","C")))</f>
      </c>
    </row>
    <row r="1752">
      <c r="E1752" s="12">
        <f>IF(OR(NOT(ISNUMBER($C1752)),$A1753=""),"",$C1752+N($E1751))</f>
      </c>
      <c r="F1752" s="13">
        <f>IF(NOT(ISNUMBER($E1752)),"",IF($E1752-$C1752&lt;0.8,"A",IF($E1752-$C1752&lt;0.95,"B","C")))</f>
      </c>
    </row>
    <row r="1753">
      <c r="E1753" s="12">
        <f>IF(OR(NOT(ISNUMBER($C1753)),$A1754=""),"",$C1753+N($E1752))</f>
      </c>
      <c r="F1753" s="13">
        <f>IF(NOT(ISNUMBER($E1753)),"",IF($E1753-$C1753&lt;0.8,"A",IF($E1753-$C1753&lt;0.95,"B","C")))</f>
      </c>
    </row>
    <row r="1754">
      <c r="E1754" s="12">
        <f>IF(OR(NOT(ISNUMBER($C1754)),$A1755=""),"",$C1754+N($E1753))</f>
      </c>
      <c r="F1754" s="13">
        <f>IF(NOT(ISNUMBER($E1754)),"",IF($E1754-$C1754&lt;0.8,"A",IF($E1754-$C1754&lt;0.95,"B","C")))</f>
      </c>
    </row>
    <row r="1755">
      <c r="E1755" s="12">
        <f>IF(OR(NOT(ISNUMBER($C1755)),$A1756=""),"",$C1755+N($E1754))</f>
      </c>
      <c r="F1755" s="13">
        <f>IF(NOT(ISNUMBER($E1755)),"",IF($E1755-$C1755&lt;0.8,"A",IF($E1755-$C1755&lt;0.95,"B","C")))</f>
      </c>
    </row>
    <row r="1756">
      <c r="E1756" s="12">
        <f>IF(OR(NOT(ISNUMBER($C1756)),$A1757=""),"",$C1756+N($E1755))</f>
      </c>
      <c r="F1756" s="13">
        <f>IF(NOT(ISNUMBER($E1756)),"",IF($E1756-$C1756&lt;0.8,"A",IF($E1756-$C1756&lt;0.95,"B","C")))</f>
      </c>
    </row>
    <row r="1757">
      <c r="E1757" s="12">
        <f>IF(OR(NOT(ISNUMBER($C1757)),$A1758=""),"",$C1757+N($E1756))</f>
      </c>
      <c r="F1757" s="13">
        <f>IF(NOT(ISNUMBER($E1757)),"",IF($E1757-$C1757&lt;0.8,"A",IF($E1757-$C1757&lt;0.95,"B","C")))</f>
      </c>
    </row>
    <row r="1758">
      <c r="E1758" s="12">
        <f>IF(OR(NOT(ISNUMBER($C1758)),$A1759=""),"",$C1758+N($E1757))</f>
      </c>
      <c r="F1758" s="13">
        <f>IF(NOT(ISNUMBER($E1758)),"",IF($E1758-$C1758&lt;0.8,"A",IF($E1758-$C1758&lt;0.95,"B","C")))</f>
      </c>
    </row>
    <row r="1759">
      <c r="E1759" s="12">
        <f>IF(OR(NOT(ISNUMBER($C1759)),$A1760=""),"",$C1759+N($E1758))</f>
      </c>
      <c r="F1759" s="13">
        <f>IF(NOT(ISNUMBER($E1759)),"",IF($E1759-$C1759&lt;0.8,"A",IF($E1759-$C1759&lt;0.95,"B","C")))</f>
      </c>
    </row>
    <row r="1760">
      <c r="E1760" s="12">
        <f>IF(OR(NOT(ISNUMBER($C1760)),$A1761=""),"",$C1760+N($E1759))</f>
      </c>
      <c r="F1760" s="13">
        <f>IF(NOT(ISNUMBER($E1760)),"",IF($E1760-$C1760&lt;0.8,"A",IF($E1760-$C1760&lt;0.95,"B","C")))</f>
      </c>
    </row>
    <row r="1761">
      <c r="E1761" s="12">
        <f>IF(OR(NOT(ISNUMBER($C1761)),$A1762=""),"",$C1761+N($E1760))</f>
      </c>
      <c r="F1761" s="13">
        <f>IF(NOT(ISNUMBER($E1761)),"",IF($E1761-$C1761&lt;0.8,"A",IF($E1761-$C1761&lt;0.95,"B","C")))</f>
      </c>
    </row>
    <row r="1762">
      <c r="E1762" s="12">
        <f>IF(OR(NOT(ISNUMBER($C1762)),$A1763=""),"",$C1762+N($E1761))</f>
      </c>
      <c r="F1762" s="13">
        <f>IF(NOT(ISNUMBER($E1762)),"",IF($E1762-$C1762&lt;0.8,"A",IF($E1762-$C1762&lt;0.95,"B","C")))</f>
      </c>
    </row>
    <row r="1763">
      <c r="E1763" s="12">
        <f>IF(OR(NOT(ISNUMBER($C1763)),$A1764=""),"",$C1763+N($E1762))</f>
      </c>
      <c r="F1763" s="13">
        <f>IF(NOT(ISNUMBER($E1763)),"",IF($E1763-$C1763&lt;0.8,"A",IF($E1763-$C1763&lt;0.95,"B","C")))</f>
      </c>
    </row>
    <row r="1764">
      <c r="E1764" s="12">
        <f>IF(OR(NOT(ISNUMBER($C1764)),$A1765=""),"",$C1764+N($E1763))</f>
      </c>
      <c r="F1764" s="13">
        <f>IF(NOT(ISNUMBER($E1764)),"",IF($E1764-$C1764&lt;0.8,"A",IF($E1764-$C1764&lt;0.95,"B","C")))</f>
      </c>
    </row>
    <row r="1765">
      <c r="E1765" s="12">
        <f>IF(OR(NOT(ISNUMBER($C1765)),$A1766=""),"",$C1765+N($E1764))</f>
      </c>
      <c r="F1765" s="13">
        <f>IF(NOT(ISNUMBER($E1765)),"",IF($E1765-$C1765&lt;0.8,"A",IF($E1765-$C1765&lt;0.95,"B","C")))</f>
      </c>
    </row>
    <row r="1766">
      <c r="E1766" s="12">
        <f>IF(OR(NOT(ISNUMBER($C1766)),$A1767=""),"",$C1766+N($E1765))</f>
      </c>
      <c r="F1766" s="13">
        <f>IF(NOT(ISNUMBER($E1766)),"",IF($E1766-$C1766&lt;0.8,"A",IF($E1766-$C1766&lt;0.95,"B","C")))</f>
      </c>
    </row>
    <row r="1767">
      <c r="E1767" s="12">
        <f>IF(OR(NOT(ISNUMBER($C1767)),$A1768=""),"",$C1767+N($E1766))</f>
      </c>
      <c r="F1767" s="13">
        <f>IF(NOT(ISNUMBER($E1767)),"",IF($E1767-$C1767&lt;0.8,"A",IF($E1767-$C1767&lt;0.95,"B","C")))</f>
      </c>
    </row>
    <row r="1768">
      <c r="E1768" s="12">
        <f>IF(OR(NOT(ISNUMBER($C1768)),$A1769=""),"",$C1768+N($E1767))</f>
      </c>
      <c r="F1768" s="13">
        <f>IF(NOT(ISNUMBER($E1768)),"",IF($E1768-$C1768&lt;0.8,"A",IF($E1768-$C1768&lt;0.95,"B","C")))</f>
      </c>
    </row>
    <row r="1769">
      <c r="E1769" s="12">
        <f>IF(OR(NOT(ISNUMBER($C1769)),$A1770=""),"",$C1769+N($E1768))</f>
      </c>
      <c r="F1769" s="13">
        <f>IF(NOT(ISNUMBER($E1769)),"",IF($E1769-$C1769&lt;0.8,"A",IF($E1769-$C1769&lt;0.95,"B","C")))</f>
      </c>
    </row>
    <row r="1770">
      <c r="E1770" s="12">
        <f>IF(OR(NOT(ISNUMBER($C1770)),$A1771=""),"",$C1770+N($E1769))</f>
      </c>
      <c r="F1770" s="13">
        <f>IF(NOT(ISNUMBER($E1770)),"",IF($E1770-$C1770&lt;0.8,"A",IF($E1770-$C1770&lt;0.95,"B","C")))</f>
      </c>
    </row>
    <row r="1771">
      <c r="E1771" s="12">
        <f>IF(OR(NOT(ISNUMBER($C1771)),$A1772=""),"",$C1771+N($E1770))</f>
      </c>
      <c r="F1771" s="13">
        <f>IF(NOT(ISNUMBER($E1771)),"",IF($E1771-$C1771&lt;0.8,"A",IF($E1771-$C1771&lt;0.95,"B","C")))</f>
      </c>
    </row>
    <row r="1772">
      <c r="E1772" s="12">
        <f>IF(OR(NOT(ISNUMBER($C1772)),$A1773=""),"",$C1772+N($E1771))</f>
      </c>
      <c r="F1772" s="13">
        <f>IF(NOT(ISNUMBER($E1772)),"",IF($E1772-$C1772&lt;0.8,"A",IF($E1772-$C1772&lt;0.95,"B","C")))</f>
      </c>
    </row>
    <row r="1773">
      <c r="E1773" s="12">
        <f>IF(OR(NOT(ISNUMBER($C1773)),$A1774=""),"",$C1773+N($E1772))</f>
      </c>
      <c r="F1773" s="13">
        <f>IF(NOT(ISNUMBER($E1773)),"",IF($E1773-$C1773&lt;0.8,"A",IF($E1773-$C1773&lt;0.95,"B","C")))</f>
      </c>
    </row>
    <row r="1774">
      <c r="E1774" s="12">
        <f>IF(OR(NOT(ISNUMBER($C1774)),$A1775=""),"",$C1774+N($E1773))</f>
      </c>
      <c r="F1774" s="13">
        <f>IF(NOT(ISNUMBER($E1774)),"",IF($E1774-$C1774&lt;0.8,"A",IF($E1774-$C1774&lt;0.95,"B","C")))</f>
      </c>
    </row>
    <row r="1775">
      <c r="E1775" s="12">
        <f>IF(OR(NOT(ISNUMBER($C1775)),$A1776=""),"",$C1775+N($E1774))</f>
      </c>
      <c r="F1775" s="13">
        <f>IF(NOT(ISNUMBER($E1775)),"",IF($E1775-$C1775&lt;0.8,"A",IF($E1775-$C1775&lt;0.95,"B","C")))</f>
      </c>
    </row>
    <row r="1776">
      <c r="E1776" s="12">
        <f>IF(OR(NOT(ISNUMBER($C1776)),$A1777=""),"",$C1776+N($E1775))</f>
      </c>
      <c r="F1776" s="13">
        <f>IF(NOT(ISNUMBER($E1776)),"",IF($E1776-$C1776&lt;0.8,"A",IF($E1776-$C1776&lt;0.95,"B","C")))</f>
      </c>
    </row>
    <row r="1777">
      <c r="E1777" s="12">
        <f>IF(OR(NOT(ISNUMBER($C1777)),$A1778=""),"",$C1777+N($E1776))</f>
      </c>
      <c r="F1777" s="13">
        <f>IF(NOT(ISNUMBER($E1777)),"",IF($E1777-$C1777&lt;0.8,"A",IF($E1777-$C1777&lt;0.95,"B","C")))</f>
      </c>
    </row>
    <row r="1778">
      <c r="E1778" s="12">
        <f>IF(OR(NOT(ISNUMBER($C1778)),$A1779=""),"",$C1778+N($E1777))</f>
      </c>
      <c r="F1778" s="13">
        <f>IF(NOT(ISNUMBER($E1778)),"",IF($E1778-$C1778&lt;0.8,"A",IF($E1778-$C1778&lt;0.95,"B","C")))</f>
      </c>
    </row>
    <row r="1779">
      <c r="E1779" s="12">
        <f>IF(OR(NOT(ISNUMBER($C1779)),$A1780=""),"",$C1779+N($E1778))</f>
      </c>
      <c r="F1779" s="13">
        <f>IF(NOT(ISNUMBER($E1779)),"",IF($E1779-$C1779&lt;0.8,"A",IF($E1779-$C1779&lt;0.95,"B","C")))</f>
      </c>
    </row>
    <row r="1780">
      <c r="E1780" s="12">
        <f>IF(OR(NOT(ISNUMBER($C1780)),$A1781=""),"",$C1780+N($E1779))</f>
      </c>
      <c r="F1780" s="13">
        <f>IF(NOT(ISNUMBER($E1780)),"",IF($E1780-$C1780&lt;0.8,"A",IF($E1780-$C1780&lt;0.95,"B","C")))</f>
      </c>
    </row>
    <row r="1781">
      <c r="E1781" s="12">
        <f>IF(OR(NOT(ISNUMBER($C1781)),$A1782=""),"",$C1781+N($E1780))</f>
      </c>
      <c r="F1781" s="13">
        <f>IF(NOT(ISNUMBER($E1781)),"",IF($E1781-$C1781&lt;0.8,"A",IF($E1781-$C1781&lt;0.95,"B","C")))</f>
      </c>
    </row>
    <row r="1782">
      <c r="E1782" s="12">
        <f>IF(OR(NOT(ISNUMBER($C1782)),$A1783=""),"",$C1782+N($E1781))</f>
      </c>
      <c r="F1782" s="13">
        <f>IF(NOT(ISNUMBER($E1782)),"",IF($E1782-$C1782&lt;0.8,"A",IF($E1782-$C1782&lt;0.95,"B","C")))</f>
      </c>
    </row>
    <row r="1783">
      <c r="E1783" s="12">
        <f>IF(OR(NOT(ISNUMBER($C1783)),$A1784=""),"",$C1783+N($E1782))</f>
      </c>
      <c r="F1783" s="13">
        <f>IF(NOT(ISNUMBER($E1783)),"",IF($E1783-$C1783&lt;0.8,"A",IF($E1783-$C1783&lt;0.95,"B","C")))</f>
      </c>
    </row>
    <row r="1784">
      <c r="E1784" s="12">
        <f>IF(OR(NOT(ISNUMBER($C1784)),$A1785=""),"",$C1784+N($E1783))</f>
      </c>
      <c r="F1784" s="13">
        <f>IF(NOT(ISNUMBER($E1784)),"",IF($E1784-$C1784&lt;0.8,"A",IF($E1784-$C1784&lt;0.95,"B","C")))</f>
      </c>
    </row>
    <row r="1785">
      <c r="E1785" s="12">
        <f>IF(OR(NOT(ISNUMBER($C1785)),$A1786=""),"",$C1785+N($E1784))</f>
      </c>
      <c r="F1785" s="13">
        <f>IF(NOT(ISNUMBER($E1785)),"",IF($E1785-$C1785&lt;0.8,"A",IF($E1785-$C1785&lt;0.95,"B","C")))</f>
      </c>
    </row>
    <row r="1786">
      <c r="E1786" s="12">
        <f>IF(OR(NOT(ISNUMBER($C1786)),$A1787=""),"",$C1786+N($E1785))</f>
      </c>
      <c r="F1786" s="13">
        <f>IF(NOT(ISNUMBER($E1786)),"",IF($E1786-$C1786&lt;0.8,"A",IF($E1786-$C1786&lt;0.95,"B","C")))</f>
      </c>
    </row>
    <row r="1787">
      <c r="E1787" s="12">
        <f>IF(OR(NOT(ISNUMBER($C1787)),$A1788=""),"",$C1787+N($E1786))</f>
      </c>
      <c r="F1787" s="13">
        <f>IF(NOT(ISNUMBER($E1787)),"",IF($E1787-$C1787&lt;0.8,"A",IF($E1787-$C1787&lt;0.95,"B","C")))</f>
      </c>
    </row>
    <row r="1788">
      <c r="E1788" s="12">
        <f>IF(OR(NOT(ISNUMBER($C1788)),$A1789=""),"",$C1788+N($E1787))</f>
      </c>
      <c r="F1788" s="13">
        <f>IF(NOT(ISNUMBER($E1788)),"",IF($E1788-$C1788&lt;0.8,"A",IF($E1788-$C1788&lt;0.95,"B","C")))</f>
      </c>
    </row>
    <row r="1789">
      <c r="E1789" s="12">
        <f>IF(OR(NOT(ISNUMBER($C1789)),$A1790=""),"",$C1789+N($E1788))</f>
      </c>
      <c r="F1789" s="13">
        <f>IF(NOT(ISNUMBER($E1789)),"",IF($E1789-$C1789&lt;0.8,"A",IF($E1789-$C1789&lt;0.95,"B","C")))</f>
      </c>
    </row>
    <row r="1790">
      <c r="E1790" s="12">
        <f>IF(OR(NOT(ISNUMBER($C1790)),$A1791=""),"",$C1790+N($E1789))</f>
      </c>
      <c r="F1790" s="13">
        <f>IF(NOT(ISNUMBER($E1790)),"",IF($E1790-$C1790&lt;0.8,"A",IF($E1790-$C1790&lt;0.95,"B","C")))</f>
      </c>
    </row>
    <row r="1791">
      <c r="E1791" s="12">
        <f>IF(OR(NOT(ISNUMBER($C1791)),$A1792=""),"",$C1791+N($E1790))</f>
      </c>
      <c r="F1791" s="13">
        <f>IF(NOT(ISNUMBER($E1791)),"",IF($E1791-$C1791&lt;0.8,"A",IF($E1791-$C1791&lt;0.95,"B","C")))</f>
      </c>
    </row>
    <row r="1792">
      <c r="E1792" s="12">
        <f>IF(OR(NOT(ISNUMBER($C1792)),$A1793=""),"",$C1792+N($E1791))</f>
      </c>
      <c r="F1792" s="13">
        <f>IF(NOT(ISNUMBER($E1792)),"",IF($E1792-$C1792&lt;0.8,"A",IF($E1792-$C1792&lt;0.95,"B","C")))</f>
      </c>
    </row>
    <row r="1793">
      <c r="E1793" s="12">
        <f>IF(OR(NOT(ISNUMBER($C1793)),$A1794=""),"",$C1793+N($E1792))</f>
      </c>
      <c r="F1793" s="13">
        <f>IF(NOT(ISNUMBER($E1793)),"",IF($E1793-$C1793&lt;0.8,"A",IF($E1793-$C1793&lt;0.95,"B","C")))</f>
      </c>
    </row>
    <row r="1794">
      <c r="E1794" s="12">
        <f>IF(OR(NOT(ISNUMBER($C1794)),$A1795=""),"",$C1794+N($E1793))</f>
      </c>
      <c r="F1794" s="13">
        <f>IF(NOT(ISNUMBER($E1794)),"",IF($E1794-$C1794&lt;0.8,"A",IF($E1794-$C1794&lt;0.95,"B","C")))</f>
      </c>
    </row>
    <row r="1795">
      <c r="E1795" s="12">
        <f>IF(OR(NOT(ISNUMBER($C1795)),$A1796=""),"",$C1795+N($E1794))</f>
      </c>
      <c r="F1795" s="13">
        <f>IF(NOT(ISNUMBER($E1795)),"",IF($E1795-$C1795&lt;0.8,"A",IF($E1795-$C1795&lt;0.95,"B","C")))</f>
      </c>
    </row>
    <row r="1796">
      <c r="E1796" s="12">
        <f>IF(OR(NOT(ISNUMBER($C1796)),$A1797=""),"",$C1796+N($E1795))</f>
      </c>
      <c r="F1796" s="13">
        <f>IF(NOT(ISNUMBER($E1796)),"",IF($E1796-$C1796&lt;0.8,"A",IF($E1796-$C1796&lt;0.95,"B","C")))</f>
      </c>
    </row>
    <row r="1797">
      <c r="E1797" s="12">
        <f>IF(OR(NOT(ISNUMBER($C1797)),$A1798=""),"",$C1797+N($E1796))</f>
      </c>
      <c r="F1797" s="13">
        <f>IF(NOT(ISNUMBER($E1797)),"",IF($E1797-$C1797&lt;0.8,"A",IF($E1797-$C1797&lt;0.95,"B","C")))</f>
      </c>
    </row>
    <row r="1798">
      <c r="E1798" s="12">
        <f>IF(OR(NOT(ISNUMBER($C1798)),$A1799=""),"",$C1798+N($E1797))</f>
      </c>
      <c r="F1798" s="13">
        <f>IF(NOT(ISNUMBER($E1798)),"",IF($E1798-$C1798&lt;0.8,"A",IF($E1798-$C1798&lt;0.95,"B","C")))</f>
      </c>
    </row>
    <row r="1799">
      <c r="E1799" s="12">
        <f>IF(OR(NOT(ISNUMBER($C1799)),$A1800=""),"",$C1799+N($E1798))</f>
      </c>
      <c r="F1799" s="13">
        <f>IF(NOT(ISNUMBER($E1799)),"",IF($E1799-$C1799&lt;0.8,"A",IF($E1799-$C1799&lt;0.95,"B","C")))</f>
      </c>
    </row>
    <row r="1800">
      <c r="E1800" s="12">
        <f>IF(OR(NOT(ISNUMBER($C1800)),$A1801=""),"",$C1800+N($E1799))</f>
      </c>
      <c r="F1800" s="13">
        <f>IF(NOT(ISNUMBER($E1800)),"",IF($E1800-$C1800&lt;0.8,"A",IF($E1800-$C1800&lt;0.95,"B","C")))</f>
      </c>
    </row>
    <row r="1801">
      <c r="E1801" s="12">
        <f>IF(OR(NOT(ISNUMBER($C1801)),$A1802=""),"",$C1801+N($E1800))</f>
      </c>
      <c r="F1801" s="13">
        <f>IF(NOT(ISNUMBER($E1801)),"",IF($E1801-$C1801&lt;0.8,"A",IF($E1801-$C1801&lt;0.95,"B","C")))</f>
      </c>
    </row>
    <row r="1802">
      <c r="E1802" s="12">
        <f>IF(OR(NOT(ISNUMBER($C1802)),$A1803=""),"",$C1802+N($E1801))</f>
      </c>
      <c r="F1802" s="13">
        <f>IF(NOT(ISNUMBER($E1802)),"",IF($E1802-$C1802&lt;0.8,"A",IF($E1802-$C1802&lt;0.95,"B","C")))</f>
      </c>
    </row>
    <row r="1803">
      <c r="E1803" s="12">
        <f>IF(OR(NOT(ISNUMBER($C1803)),$A1804=""),"",$C1803+N($E1802))</f>
      </c>
      <c r="F1803" s="13">
        <f>IF(NOT(ISNUMBER($E1803)),"",IF($E1803-$C1803&lt;0.8,"A",IF($E1803-$C1803&lt;0.95,"B","C")))</f>
      </c>
    </row>
    <row r="1804">
      <c r="E1804" s="12">
        <f>IF(OR(NOT(ISNUMBER($C1804)),$A1805=""),"",$C1804+N($E1803))</f>
      </c>
      <c r="F1804" s="13">
        <f>IF(NOT(ISNUMBER($E1804)),"",IF($E1804-$C1804&lt;0.8,"A",IF($E1804-$C1804&lt;0.95,"B","C")))</f>
      </c>
    </row>
    <row r="1805">
      <c r="E1805" s="12">
        <f>IF(OR(NOT(ISNUMBER($C1805)),$A1806=""),"",$C1805+N($E1804))</f>
      </c>
      <c r="F1805" s="13">
        <f>IF(NOT(ISNUMBER($E1805)),"",IF($E1805-$C1805&lt;0.8,"A",IF($E1805-$C1805&lt;0.95,"B","C")))</f>
      </c>
    </row>
    <row r="1806">
      <c r="E1806" s="12">
        <f>IF(OR(NOT(ISNUMBER($C1806)),$A1807=""),"",$C1806+N($E1805))</f>
      </c>
      <c r="F1806" s="13">
        <f>IF(NOT(ISNUMBER($E1806)),"",IF($E1806-$C1806&lt;0.8,"A",IF($E1806-$C1806&lt;0.95,"B","C")))</f>
      </c>
    </row>
    <row r="1807">
      <c r="E1807" s="12">
        <f>IF(OR(NOT(ISNUMBER($C1807)),$A1808=""),"",$C1807+N($E1806))</f>
      </c>
      <c r="F1807" s="13">
        <f>IF(NOT(ISNUMBER($E1807)),"",IF($E1807-$C1807&lt;0.8,"A",IF($E1807-$C1807&lt;0.95,"B","C")))</f>
      </c>
    </row>
    <row r="1808">
      <c r="E1808" s="12">
        <f>IF(OR(NOT(ISNUMBER($C1808)),$A1809=""),"",$C1808+N($E1807))</f>
      </c>
      <c r="F1808" s="13">
        <f>IF(NOT(ISNUMBER($E1808)),"",IF($E1808-$C1808&lt;0.8,"A",IF($E1808-$C1808&lt;0.95,"B","C")))</f>
      </c>
    </row>
    <row r="1809">
      <c r="E1809" s="12">
        <f>IF(OR(NOT(ISNUMBER($C1809)),$A1810=""),"",$C1809+N($E1808))</f>
      </c>
      <c r="F1809" s="13">
        <f>IF(NOT(ISNUMBER($E1809)),"",IF($E1809-$C1809&lt;0.8,"A",IF($E1809-$C1809&lt;0.95,"B","C")))</f>
      </c>
    </row>
    <row r="1810">
      <c r="E1810" s="12">
        <f>IF(OR(NOT(ISNUMBER($C1810)),$A1811=""),"",$C1810+N($E1809))</f>
      </c>
      <c r="F1810" s="13">
        <f>IF(NOT(ISNUMBER($E1810)),"",IF($E1810-$C1810&lt;0.8,"A",IF($E1810-$C1810&lt;0.95,"B","C")))</f>
      </c>
    </row>
    <row r="1811">
      <c r="E1811" s="12">
        <f>IF(OR(NOT(ISNUMBER($C1811)),$A1812=""),"",$C1811+N($E1810))</f>
      </c>
      <c r="F1811" s="13">
        <f>IF(NOT(ISNUMBER($E1811)),"",IF($E1811-$C1811&lt;0.8,"A",IF($E1811-$C1811&lt;0.95,"B","C")))</f>
      </c>
    </row>
    <row r="1812">
      <c r="E1812" s="12">
        <f>IF(OR(NOT(ISNUMBER($C1812)),$A1813=""),"",$C1812+N($E1811))</f>
      </c>
      <c r="F1812" s="13">
        <f>IF(NOT(ISNUMBER($E1812)),"",IF($E1812-$C1812&lt;0.8,"A",IF($E1812-$C1812&lt;0.95,"B","C")))</f>
      </c>
    </row>
    <row r="1813">
      <c r="E1813" s="12">
        <f>IF(OR(NOT(ISNUMBER($C1813)),$A1814=""),"",$C1813+N($E1812))</f>
      </c>
      <c r="F1813" s="13">
        <f>IF(NOT(ISNUMBER($E1813)),"",IF($E1813-$C1813&lt;0.8,"A",IF($E1813-$C1813&lt;0.95,"B","C")))</f>
      </c>
    </row>
    <row r="1814">
      <c r="E1814" s="12">
        <f>IF(OR(NOT(ISNUMBER($C1814)),$A1815=""),"",$C1814+N($E1813))</f>
      </c>
      <c r="F1814" s="13">
        <f>IF(NOT(ISNUMBER($E1814)),"",IF($E1814-$C1814&lt;0.8,"A",IF($E1814-$C1814&lt;0.95,"B","C")))</f>
      </c>
    </row>
    <row r="1815">
      <c r="E1815" s="12">
        <f>IF(OR(NOT(ISNUMBER($C1815)),$A1816=""),"",$C1815+N($E1814))</f>
      </c>
      <c r="F1815" s="13">
        <f>IF(NOT(ISNUMBER($E1815)),"",IF($E1815-$C1815&lt;0.8,"A",IF($E1815-$C1815&lt;0.95,"B","C")))</f>
      </c>
    </row>
    <row r="1816">
      <c r="E1816" s="12">
        <f>IF(OR(NOT(ISNUMBER($C1816)),$A1817=""),"",$C1816+N($E1815))</f>
      </c>
      <c r="F1816" s="13">
        <f>IF(NOT(ISNUMBER($E1816)),"",IF($E1816-$C1816&lt;0.8,"A",IF($E1816-$C1816&lt;0.95,"B","C")))</f>
      </c>
    </row>
    <row r="1817">
      <c r="E1817" s="12">
        <f>IF(OR(NOT(ISNUMBER($C1817)),$A1818=""),"",$C1817+N($E1816))</f>
      </c>
      <c r="F1817" s="13">
        <f>IF(NOT(ISNUMBER($E1817)),"",IF($E1817-$C1817&lt;0.8,"A",IF($E1817-$C1817&lt;0.95,"B","C")))</f>
      </c>
    </row>
    <row r="1818">
      <c r="E1818" s="12">
        <f>IF(OR(NOT(ISNUMBER($C1818)),$A1819=""),"",$C1818+N($E1817))</f>
      </c>
      <c r="F1818" s="13">
        <f>IF(NOT(ISNUMBER($E1818)),"",IF($E1818-$C1818&lt;0.8,"A",IF($E1818-$C1818&lt;0.95,"B","C")))</f>
      </c>
    </row>
    <row r="1819">
      <c r="E1819" s="12">
        <f>IF(OR(NOT(ISNUMBER($C1819)),$A1820=""),"",$C1819+N($E1818))</f>
      </c>
      <c r="F1819" s="13">
        <f>IF(NOT(ISNUMBER($E1819)),"",IF($E1819-$C1819&lt;0.8,"A",IF($E1819-$C1819&lt;0.95,"B","C")))</f>
      </c>
    </row>
    <row r="1820">
      <c r="E1820" s="12">
        <f>IF(OR(NOT(ISNUMBER($C1820)),$A1821=""),"",$C1820+N($E1819))</f>
      </c>
      <c r="F1820" s="13">
        <f>IF(NOT(ISNUMBER($E1820)),"",IF($E1820-$C1820&lt;0.8,"A",IF($E1820-$C1820&lt;0.95,"B","C")))</f>
      </c>
    </row>
    <row r="1821">
      <c r="E1821" s="12">
        <f>IF(OR(NOT(ISNUMBER($C1821)),$A1822=""),"",$C1821+N($E1820))</f>
      </c>
      <c r="F1821" s="13">
        <f>IF(NOT(ISNUMBER($E1821)),"",IF($E1821-$C1821&lt;0.8,"A",IF($E1821-$C1821&lt;0.95,"B","C")))</f>
      </c>
    </row>
    <row r="1822">
      <c r="E1822" s="12">
        <f>IF(OR(NOT(ISNUMBER($C1822)),$A1823=""),"",$C1822+N($E1821))</f>
      </c>
      <c r="F1822" s="13">
        <f>IF(NOT(ISNUMBER($E1822)),"",IF($E1822-$C1822&lt;0.8,"A",IF($E1822-$C1822&lt;0.95,"B","C")))</f>
      </c>
    </row>
    <row r="1823">
      <c r="E1823" s="12">
        <f>IF(OR(NOT(ISNUMBER($C1823)),$A1824=""),"",$C1823+N($E1822))</f>
      </c>
      <c r="F1823" s="13">
        <f>IF(NOT(ISNUMBER($E1823)),"",IF($E1823-$C1823&lt;0.8,"A",IF($E1823-$C1823&lt;0.95,"B","C")))</f>
      </c>
    </row>
    <row r="1824">
      <c r="E1824" s="12">
        <f>IF(OR(NOT(ISNUMBER($C1824)),$A1825=""),"",$C1824+N($E1823))</f>
      </c>
      <c r="F1824" s="13">
        <f>IF(NOT(ISNUMBER($E1824)),"",IF($E1824-$C1824&lt;0.8,"A",IF($E1824-$C1824&lt;0.95,"B","C")))</f>
      </c>
    </row>
    <row r="1825">
      <c r="E1825" s="12">
        <f>IF(OR(NOT(ISNUMBER($C1825)),$A1826=""),"",$C1825+N($E1824))</f>
      </c>
      <c r="F1825" s="13">
        <f>IF(NOT(ISNUMBER($E1825)),"",IF($E1825-$C1825&lt;0.8,"A",IF($E1825-$C1825&lt;0.95,"B","C")))</f>
      </c>
    </row>
    <row r="1826">
      <c r="E1826" s="12">
        <f>IF(OR(NOT(ISNUMBER($C1826)),$A1827=""),"",$C1826+N($E1825))</f>
      </c>
      <c r="F1826" s="13">
        <f>IF(NOT(ISNUMBER($E1826)),"",IF($E1826-$C1826&lt;0.8,"A",IF($E1826-$C1826&lt;0.95,"B","C")))</f>
      </c>
    </row>
    <row r="1827">
      <c r="E1827" s="12">
        <f>IF(OR(NOT(ISNUMBER($C1827)),$A1828=""),"",$C1827+N($E1826))</f>
      </c>
      <c r="F1827" s="13">
        <f>IF(NOT(ISNUMBER($E1827)),"",IF($E1827-$C1827&lt;0.8,"A",IF($E1827-$C1827&lt;0.95,"B","C")))</f>
      </c>
    </row>
    <row r="1828">
      <c r="E1828" s="12">
        <f>IF(OR(NOT(ISNUMBER($C1828)),$A1829=""),"",$C1828+N($E1827))</f>
      </c>
      <c r="F1828" s="13">
        <f>IF(NOT(ISNUMBER($E1828)),"",IF($E1828-$C1828&lt;0.8,"A",IF($E1828-$C1828&lt;0.95,"B","C")))</f>
      </c>
    </row>
    <row r="1829">
      <c r="E1829" s="12">
        <f>IF(OR(NOT(ISNUMBER($C1829)),$A1830=""),"",$C1829+N($E1828))</f>
      </c>
      <c r="F1829" s="13">
        <f>IF(NOT(ISNUMBER($E1829)),"",IF($E1829-$C1829&lt;0.8,"A",IF($E1829-$C1829&lt;0.95,"B","C")))</f>
      </c>
    </row>
    <row r="1830">
      <c r="E1830" s="12">
        <f>IF(OR(NOT(ISNUMBER($C1830)),$A1831=""),"",$C1830+N($E1829))</f>
      </c>
      <c r="F1830" s="13">
        <f>IF(NOT(ISNUMBER($E1830)),"",IF($E1830-$C1830&lt;0.8,"A",IF($E1830-$C1830&lt;0.95,"B","C")))</f>
      </c>
    </row>
    <row r="1831">
      <c r="E1831" s="12">
        <f>IF(OR(NOT(ISNUMBER($C1831)),$A1832=""),"",$C1831+N($E1830))</f>
      </c>
      <c r="F1831" s="13">
        <f>IF(NOT(ISNUMBER($E1831)),"",IF($E1831-$C1831&lt;0.8,"A",IF($E1831-$C1831&lt;0.95,"B","C")))</f>
      </c>
    </row>
    <row r="1832">
      <c r="E1832" s="12">
        <f>IF(OR(NOT(ISNUMBER($C1832)),$A1833=""),"",$C1832+N($E1831))</f>
      </c>
      <c r="F1832" s="13">
        <f>IF(NOT(ISNUMBER($E1832)),"",IF($E1832-$C1832&lt;0.8,"A",IF($E1832-$C1832&lt;0.95,"B","C")))</f>
      </c>
    </row>
    <row r="1833">
      <c r="E1833" s="12">
        <f>IF(OR(NOT(ISNUMBER($C1833)),$A1834=""),"",$C1833+N($E1832))</f>
      </c>
      <c r="F1833" s="13">
        <f>IF(NOT(ISNUMBER($E1833)),"",IF($E1833-$C1833&lt;0.8,"A",IF($E1833-$C1833&lt;0.95,"B","C")))</f>
      </c>
    </row>
    <row r="1834">
      <c r="E1834" s="12">
        <f>IF(OR(NOT(ISNUMBER($C1834)),$A1835=""),"",$C1834+N($E1833))</f>
      </c>
      <c r="F1834" s="13">
        <f>IF(NOT(ISNUMBER($E1834)),"",IF($E1834-$C1834&lt;0.8,"A",IF($E1834-$C1834&lt;0.95,"B","C")))</f>
      </c>
    </row>
    <row r="1835">
      <c r="E1835" s="12">
        <f>IF(OR(NOT(ISNUMBER($C1835)),$A1836=""),"",$C1835+N($E1834))</f>
      </c>
      <c r="F1835" s="13">
        <f>IF(NOT(ISNUMBER($E1835)),"",IF($E1835-$C1835&lt;0.8,"A",IF($E1835-$C1835&lt;0.95,"B","C")))</f>
      </c>
    </row>
    <row r="1836">
      <c r="E1836" s="12">
        <f>IF(OR(NOT(ISNUMBER($C1836)),$A1837=""),"",$C1836+N($E1835))</f>
      </c>
      <c r="F1836" s="13">
        <f>IF(NOT(ISNUMBER($E1836)),"",IF($E1836-$C1836&lt;0.8,"A",IF($E1836-$C1836&lt;0.95,"B","C")))</f>
      </c>
    </row>
    <row r="1837">
      <c r="E1837" s="12">
        <f>IF(OR(NOT(ISNUMBER($C1837)),$A1838=""),"",$C1837+N($E1836))</f>
      </c>
      <c r="F1837" s="13">
        <f>IF(NOT(ISNUMBER($E1837)),"",IF($E1837-$C1837&lt;0.8,"A",IF($E1837-$C1837&lt;0.95,"B","C")))</f>
      </c>
    </row>
    <row r="1838">
      <c r="E1838" s="12">
        <f>IF(OR(NOT(ISNUMBER($C1838)),$A1839=""),"",$C1838+N($E1837))</f>
      </c>
      <c r="F1838" s="13">
        <f>IF(NOT(ISNUMBER($E1838)),"",IF($E1838-$C1838&lt;0.8,"A",IF($E1838-$C1838&lt;0.95,"B","C")))</f>
      </c>
    </row>
    <row r="1839">
      <c r="E1839" s="12">
        <f>IF(OR(NOT(ISNUMBER($C1839)),$A1840=""),"",$C1839+N($E1838))</f>
      </c>
      <c r="F1839" s="13">
        <f>IF(NOT(ISNUMBER($E1839)),"",IF($E1839-$C1839&lt;0.8,"A",IF($E1839-$C1839&lt;0.95,"B","C")))</f>
      </c>
    </row>
    <row r="1840">
      <c r="E1840" s="12">
        <f>IF(OR(NOT(ISNUMBER($C1840)),$A1841=""),"",$C1840+N($E1839))</f>
      </c>
      <c r="F1840" s="13">
        <f>IF(NOT(ISNUMBER($E1840)),"",IF($E1840-$C1840&lt;0.8,"A",IF($E1840-$C1840&lt;0.95,"B","C")))</f>
      </c>
    </row>
    <row r="1841">
      <c r="E1841" s="12">
        <f>IF(OR(NOT(ISNUMBER($C1841)),$A1842=""),"",$C1841+N($E1840))</f>
      </c>
      <c r="F1841" s="13">
        <f>IF(NOT(ISNUMBER($E1841)),"",IF($E1841-$C1841&lt;0.8,"A",IF($E1841-$C1841&lt;0.95,"B","C")))</f>
      </c>
    </row>
    <row r="1842">
      <c r="E1842" s="12">
        <f>IF(OR(NOT(ISNUMBER($C1842)),$A1843=""),"",$C1842+N($E1841))</f>
      </c>
      <c r="F1842" s="13">
        <f>IF(NOT(ISNUMBER($E1842)),"",IF($E1842-$C1842&lt;0.8,"A",IF($E1842-$C1842&lt;0.95,"B","C")))</f>
      </c>
    </row>
    <row r="1843">
      <c r="E1843" s="12">
        <f>IF(OR(NOT(ISNUMBER($C1843)),$A1844=""),"",$C1843+N($E1842))</f>
      </c>
      <c r="F1843" s="13">
        <f>IF(NOT(ISNUMBER($E1843)),"",IF($E1843-$C1843&lt;0.8,"A",IF($E1843-$C1843&lt;0.95,"B","C")))</f>
      </c>
    </row>
    <row r="1844">
      <c r="E1844" s="12">
        <f>IF(OR(NOT(ISNUMBER($C1844)),$A1845=""),"",$C1844+N($E1843))</f>
      </c>
      <c r="F1844" s="13">
        <f>IF(NOT(ISNUMBER($E1844)),"",IF($E1844-$C1844&lt;0.8,"A",IF($E1844-$C1844&lt;0.95,"B","C")))</f>
      </c>
    </row>
    <row r="1845">
      <c r="E1845" s="12">
        <f>IF(OR(NOT(ISNUMBER($C1845)),$A1846=""),"",$C1845+N($E1844))</f>
      </c>
      <c r="F1845" s="13">
        <f>IF(NOT(ISNUMBER($E1845)),"",IF($E1845-$C1845&lt;0.8,"A",IF($E1845-$C1845&lt;0.95,"B","C")))</f>
      </c>
    </row>
    <row r="1846">
      <c r="E1846" s="12">
        <f>IF(OR(NOT(ISNUMBER($C1846)),$A1847=""),"",$C1846+N($E1845))</f>
      </c>
      <c r="F1846" s="13">
        <f>IF(NOT(ISNUMBER($E1846)),"",IF($E1846-$C1846&lt;0.8,"A",IF($E1846-$C1846&lt;0.95,"B","C")))</f>
      </c>
    </row>
    <row r="1847">
      <c r="E1847" s="12">
        <f>IF(OR(NOT(ISNUMBER($C1847)),$A1848=""),"",$C1847+N($E1846))</f>
      </c>
      <c r="F1847" s="13">
        <f>IF(NOT(ISNUMBER($E1847)),"",IF($E1847-$C1847&lt;0.8,"A",IF($E1847-$C1847&lt;0.95,"B","C")))</f>
      </c>
    </row>
    <row r="1848">
      <c r="E1848" s="12">
        <f>IF(OR(NOT(ISNUMBER($C1848)),$A1849=""),"",$C1848+N($E1847))</f>
      </c>
      <c r="F1848" s="13">
        <f>IF(NOT(ISNUMBER($E1848)),"",IF($E1848-$C1848&lt;0.8,"A",IF($E1848-$C1848&lt;0.95,"B","C")))</f>
      </c>
    </row>
    <row r="1849">
      <c r="E1849" s="12">
        <f>IF(OR(NOT(ISNUMBER($C1849)),$A1850=""),"",$C1849+N($E1848))</f>
      </c>
      <c r="F1849" s="13">
        <f>IF(NOT(ISNUMBER($E1849)),"",IF($E1849-$C1849&lt;0.8,"A",IF($E1849-$C1849&lt;0.95,"B","C")))</f>
      </c>
    </row>
    <row r="1850">
      <c r="E1850" s="12">
        <f>IF(OR(NOT(ISNUMBER($C1850)),$A1851=""),"",$C1850+N($E1849))</f>
      </c>
      <c r="F1850" s="13">
        <f>IF(NOT(ISNUMBER($E1850)),"",IF($E1850-$C1850&lt;0.8,"A",IF($E1850-$C1850&lt;0.95,"B","C")))</f>
      </c>
    </row>
    <row r="1851">
      <c r="E1851" s="12">
        <f>IF(OR(NOT(ISNUMBER($C1851)),$A1852=""),"",$C1851+N($E1850))</f>
      </c>
      <c r="F1851" s="13">
        <f>IF(NOT(ISNUMBER($E1851)),"",IF($E1851-$C1851&lt;0.8,"A",IF($E1851-$C1851&lt;0.95,"B","C")))</f>
      </c>
    </row>
    <row r="1852">
      <c r="E1852" s="12">
        <f>IF(OR(NOT(ISNUMBER($C1852)),$A1853=""),"",$C1852+N($E1851))</f>
      </c>
      <c r="F1852" s="13">
        <f>IF(NOT(ISNUMBER($E1852)),"",IF($E1852-$C1852&lt;0.8,"A",IF($E1852-$C1852&lt;0.95,"B","C")))</f>
      </c>
    </row>
    <row r="1853">
      <c r="E1853" s="12">
        <f>IF(OR(NOT(ISNUMBER($C1853)),$A1854=""),"",$C1853+N($E1852))</f>
      </c>
      <c r="F1853" s="13">
        <f>IF(NOT(ISNUMBER($E1853)),"",IF($E1853-$C1853&lt;0.8,"A",IF($E1853-$C1853&lt;0.95,"B","C")))</f>
      </c>
    </row>
    <row r="1854">
      <c r="E1854" s="12">
        <f>IF(OR(NOT(ISNUMBER($C1854)),$A1855=""),"",$C1854+N($E1853))</f>
      </c>
      <c r="F1854" s="13">
        <f>IF(NOT(ISNUMBER($E1854)),"",IF($E1854-$C1854&lt;0.8,"A",IF($E1854-$C1854&lt;0.95,"B","C")))</f>
      </c>
    </row>
    <row r="1855">
      <c r="E1855" s="12">
        <f>IF(OR(NOT(ISNUMBER($C1855)),$A1856=""),"",$C1855+N($E1854))</f>
      </c>
      <c r="F1855" s="13">
        <f>IF(NOT(ISNUMBER($E1855)),"",IF($E1855-$C1855&lt;0.8,"A",IF($E1855-$C1855&lt;0.95,"B","C")))</f>
      </c>
    </row>
    <row r="1856">
      <c r="E1856" s="12">
        <f>IF(OR(NOT(ISNUMBER($C1856)),$A1857=""),"",$C1856+N($E1855))</f>
      </c>
      <c r="F1856" s="13">
        <f>IF(NOT(ISNUMBER($E1856)),"",IF($E1856-$C1856&lt;0.8,"A",IF($E1856-$C1856&lt;0.95,"B","C")))</f>
      </c>
    </row>
    <row r="1857">
      <c r="E1857" s="12">
        <f>IF(OR(NOT(ISNUMBER($C1857)),$A1858=""),"",$C1857+N($E1856))</f>
      </c>
      <c r="F1857" s="13">
        <f>IF(NOT(ISNUMBER($E1857)),"",IF($E1857-$C1857&lt;0.8,"A",IF($E1857-$C1857&lt;0.95,"B","C")))</f>
      </c>
    </row>
    <row r="1858">
      <c r="E1858" s="12">
        <f>IF(OR(NOT(ISNUMBER($C1858)),$A1859=""),"",$C1858+N($E1857))</f>
      </c>
      <c r="F1858" s="13">
        <f>IF(NOT(ISNUMBER($E1858)),"",IF($E1858-$C1858&lt;0.8,"A",IF($E1858-$C1858&lt;0.95,"B","C")))</f>
      </c>
    </row>
    <row r="1859">
      <c r="E1859" s="12">
        <f>IF(OR(NOT(ISNUMBER($C1859)),$A1860=""),"",$C1859+N($E1858))</f>
      </c>
      <c r="F1859" s="13">
        <f>IF(NOT(ISNUMBER($E1859)),"",IF($E1859-$C1859&lt;0.8,"A",IF($E1859-$C1859&lt;0.95,"B","C")))</f>
      </c>
    </row>
    <row r="1860">
      <c r="E1860" s="12">
        <f>IF(OR(NOT(ISNUMBER($C1860)),$A1861=""),"",$C1860+N($E1859))</f>
      </c>
      <c r="F1860" s="13">
        <f>IF(NOT(ISNUMBER($E1860)),"",IF($E1860-$C1860&lt;0.8,"A",IF($E1860-$C1860&lt;0.95,"B","C")))</f>
      </c>
    </row>
    <row r="1861">
      <c r="E1861" s="12">
        <f>IF(OR(NOT(ISNUMBER($C1861)),$A1862=""),"",$C1861+N($E1860))</f>
      </c>
      <c r="F1861" s="13">
        <f>IF(NOT(ISNUMBER($E1861)),"",IF($E1861-$C1861&lt;0.8,"A",IF($E1861-$C1861&lt;0.95,"B","C")))</f>
      </c>
    </row>
    <row r="1862">
      <c r="E1862" s="12">
        <f>IF(OR(NOT(ISNUMBER($C1862)),$A1863=""),"",$C1862+N($E1861))</f>
      </c>
      <c r="F1862" s="13">
        <f>IF(NOT(ISNUMBER($E1862)),"",IF($E1862-$C1862&lt;0.8,"A",IF($E1862-$C1862&lt;0.95,"B","C")))</f>
      </c>
    </row>
    <row r="1863">
      <c r="E1863" s="12">
        <f>IF(OR(NOT(ISNUMBER($C1863)),$A1864=""),"",$C1863+N($E1862))</f>
      </c>
      <c r="F1863" s="13">
        <f>IF(NOT(ISNUMBER($E1863)),"",IF($E1863-$C1863&lt;0.8,"A",IF($E1863-$C1863&lt;0.95,"B","C")))</f>
      </c>
    </row>
    <row r="1864">
      <c r="E1864" s="12">
        <f>IF(OR(NOT(ISNUMBER($C1864)),$A1865=""),"",$C1864+N($E1863))</f>
      </c>
      <c r="F1864" s="13">
        <f>IF(NOT(ISNUMBER($E1864)),"",IF($E1864-$C1864&lt;0.8,"A",IF($E1864-$C1864&lt;0.95,"B","C")))</f>
      </c>
    </row>
    <row r="1865">
      <c r="E1865" s="12">
        <f>IF(OR(NOT(ISNUMBER($C1865)),$A1866=""),"",$C1865+N($E1864))</f>
      </c>
      <c r="F1865" s="13">
        <f>IF(NOT(ISNUMBER($E1865)),"",IF($E1865-$C1865&lt;0.8,"A",IF($E1865-$C1865&lt;0.95,"B","C")))</f>
      </c>
    </row>
    <row r="1866">
      <c r="E1866" s="12">
        <f>IF(OR(NOT(ISNUMBER($C1866)),$A1867=""),"",$C1866+N($E1865))</f>
      </c>
      <c r="F1866" s="13">
        <f>IF(NOT(ISNUMBER($E1866)),"",IF($E1866-$C1866&lt;0.8,"A",IF($E1866-$C1866&lt;0.95,"B","C")))</f>
      </c>
    </row>
    <row r="1867">
      <c r="E1867" s="12">
        <f>IF(OR(NOT(ISNUMBER($C1867)),$A1868=""),"",$C1867+N($E1866))</f>
      </c>
      <c r="F1867" s="13">
        <f>IF(NOT(ISNUMBER($E1867)),"",IF($E1867-$C1867&lt;0.8,"A",IF($E1867-$C1867&lt;0.95,"B","C")))</f>
      </c>
    </row>
    <row r="1868">
      <c r="E1868" s="12">
        <f>IF(OR(NOT(ISNUMBER($C1868)),$A1869=""),"",$C1868+N($E1867))</f>
      </c>
      <c r="F1868" s="13">
        <f>IF(NOT(ISNUMBER($E1868)),"",IF($E1868-$C1868&lt;0.8,"A",IF($E1868-$C1868&lt;0.95,"B","C")))</f>
      </c>
    </row>
    <row r="1869">
      <c r="E1869" s="12">
        <f>IF(OR(NOT(ISNUMBER($C1869)),$A1870=""),"",$C1869+N($E1868))</f>
      </c>
      <c r="F1869" s="13">
        <f>IF(NOT(ISNUMBER($E1869)),"",IF($E1869-$C1869&lt;0.8,"A",IF($E1869-$C1869&lt;0.95,"B","C")))</f>
      </c>
    </row>
    <row r="1870">
      <c r="E1870" s="12">
        <f>IF(OR(NOT(ISNUMBER($C1870)),$A1871=""),"",$C1870+N($E1869))</f>
      </c>
      <c r="F1870" s="13">
        <f>IF(NOT(ISNUMBER($E1870)),"",IF($E1870-$C1870&lt;0.8,"A",IF($E1870-$C1870&lt;0.95,"B","C")))</f>
      </c>
    </row>
    <row r="1871">
      <c r="E1871" s="12">
        <f>IF(OR(NOT(ISNUMBER($C1871)),$A1872=""),"",$C1871+N($E1870))</f>
      </c>
      <c r="F1871" s="13">
        <f>IF(NOT(ISNUMBER($E1871)),"",IF($E1871-$C1871&lt;0.8,"A",IF($E1871-$C1871&lt;0.95,"B","C")))</f>
      </c>
    </row>
    <row r="1872">
      <c r="E1872" s="12">
        <f>IF(OR(NOT(ISNUMBER($C1872)),$A1873=""),"",$C1872+N($E1871))</f>
      </c>
      <c r="F1872" s="13">
        <f>IF(NOT(ISNUMBER($E1872)),"",IF($E1872-$C1872&lt;0.8,"A",IF($E1872-$C1872&lt;0.95,"B","C")))</f>
      </c>
    </row>
    <row r="1873">
      <c r="E1873" s="12">
        <f>IF(OR(NOT(ISNUMBER($C1873)),$A1874=""),"",$C1873+N($E1872))</f>
      </c>
      <c r="F1873" s="13">
        <f>IF(NOT(ISNUMBER($E1873)),"",IF($E1873-$C1873&lt;0.8,"A",IF($E1873-$C1873&lt;0.95,"B","C")))</f>
      </c>
    </row>
    <row r="1874">
      <c r="E1874" s="12">
        <f>IF(OR(NOT(ISNUMBER($C1874)),$A1875=""),"",$C1874+N($E1873))</f>
      </c>
      <c r="F1874" s="13">
        <f>IF(NOT(ISNUMBER($E1874)),"",IF($E1874-$C1874&lt;0.8,"A",IF($E1874-$C1874&lt;0.95,"B","C")))</f>
      </c>
    </row>
    <row r="1875">
      <c r="E1875" s="12">
        <f>IF(OR(NOT(ISNUMBER($C1875)),$A1876=""),"",$C1875+N($E1874))</f>
      </c>
      <c r="F1875" s="13">
        <f>IF(NOT(ISNUMBER($E1875)),"",IF($E1875-$C1875&lt;0.8,"A",IF($E1875-$C1875&lt;0.95,"B","C")))</f>
      </c>
    </row>
    <row r="1876">
      <c r="E1876" s="12">
        <f>IF(OR(NOT(ISNUMBER($C1876)),$A1877=""),"",$C1876+N($E1875))</f>
      </c>
      <c r="F1876" s="13">
        <f>IF(NOT(ISNUMBER($E1876)),"",IF($E1876-$C1876&lt;0.8,"A",IF($E1876-$C1876&lt;0.95,"B","C")))</f>
      </c>
    </row>
    <row r="1877">
      <c r="E1877" s="12">
        <f>IF(OR(NOT(ISNUMBER($C1877)),$A1878=""),"",$C1877+N($E1876))</f>
      </c>
      <c r="F1877" s="13">
        <f>IF(NOT(ISNUMBER($E1877)),"",IF($E1877-$C1877&lt;0.8,"A",IF($E1877-$C1877&lt;0.95,"B","C")))</f>
      </c>
    </row>
    <row r="1878">
      <c r="E1878" s="12">
        <f>IF(OR(NOT(ISNUMBER($C1878)),$A1879=""),"",$C1878+N($E1877))</f>
      </c>
      <c r="F1878" s="13">
        <f>IF(NOT(ISNUMBER($E1878)),"",IF($E1878-$C1878&lt;0.8,"A",IF($E1878-$C1878&lt;0.95,"B","C")))</f>
      </c>
    </row>
    <row r="1879">
      <c r="E1879" s="12">
        <f>IF(OR(NOT(ISNUMBER($C1879)),$A1880=""),"",$C1879+N($E1878))</f>
      </c>
      <c r="F1879" s="13">
        <f>IF(NOT(ISNUMBER($E1879)),"",IF($E1879-$C1879&lt;0.8,"A",IF($E1879-$C1879&lt;0.95,"B","C")))</f>
      </c>
    </row>
    <row r="1880">
      <c r="E1880" s="12">
        <f>IF(OR(NOT(ISNUMBER($C1880)),$A1881=""),"",$C1880+N($E1879))</f>
      </c>
      <c r="F1880" s="13">
        <f>IF(NOT(ISNUMBER($E1880)),"",IF($E1880-$C1880&lt;0.8,"A",IF($E1880-$C1880&lt;0.95,"B","C")))</f>
      </c>
    </row>
    <row r="1881">
      <c r="E1881" s="12">
        <f>IF(OR(NOT(ISNUMBER($C1881)),$A1882=""),"",$C1881+N($E1880))</f>
      </c>
      <c r="F1881" s="13">
        <f>IF(NOT(ISNUMBER($E1881)),"",IF($E1881-$C1881&lt;0.8,"A",IF($E1881-$C1881&lt;0.95,"B","C")))</f>
      </c>
    </row>
    <row r="1882">
      <c r="E1882" s="12">
        <f>IF(OR(NOT(ISNUMBER($C1882)),$A1883=""),"",$C1882+N($E1881))</f>
      </c>
      <c r="F1882" s="13">
        <f>IF(NOT(ISNUMBER($E1882)),"",IF($E1882-$C1882&lt;0.8,"A",IF($E1882-$C1882&lt;0.95,"B","C")))</f>
      </c>
    </row>
    <row r="1883">
      <c r="E1883" s="12">
        <f>IF(OR(NOT(ISNUMBER($C1883)),$A1884=""),"",$C1883+N($E1882))</f>
      </c>
      <c r="F1883" s="13">
        <f>IF(NOT(ISNUMBER($E1883)),"",IF($E1883-$C1883&lt;0.8,"A",IF($E1883-$C1883&lt;0.95,"B","C")))</f>
      </c>
    </row>
    <row r="1884">
      <c r="E1884" s="12">
        <f>IF(OR(NOT(ISNUMBER($C1884)),$A1885=""),"",$C1884+N($E1883))</f>
      </c>
      <c r="F1884" s="13">
        <f>IF(NOT(ISNUMBER($E1884)),"",IF($E1884-$C1884&lt;0.8,"A",IF($E1884-$C1884&lt;0.95,"B","C")))</f>
      </c>
    </row>
    <row r="1885">
      <c r="E1885" s="12">
        <f>IF(OR(NOT(ISNUMBER($C1885)),$A1886=""),"",$C1885+N($E1884))</f>
      </c>
      <c r="F1885" s="13">
        <f>IF(NOT(ISNUMBER($E1885)),"",IF($E1885-$C1885&lt;0.8,"A",IF($E1885-$C1885&lt;0.95,"B","C")))</f>
      </c>
    </row>
    <row r="1886">
      <c r="E1886" s="12">
        <f>IF(OR(NOT(ISNUMBER($C1886)),$A1887=""),"",$C1886+N($E1885))</f>
      </c>
      <c r="F1886" s="13">
        <f>IF(NOT(ISNUMBER($E1886)),"",IF($E1886-$C1886&lt;0.8,"A",IF($E1886-$C1886&lt;0.95,"B","C")))</f>
      </c>
    </row>
    <row r="1887">
      <c r="E1887" s="12">
        <f>IF(OR(NOT(ISNUMBER($C1887)),$A1888=""),"",$C1887+N($E1886))</f>
      </c>
      <c r="F1887" s="13">
        <f>IF(NOT(ISNUMBER($E1887)),"",IF($E1887-$C1887&lt;0.8,"A",IF($E1887-$C1887&lt;0.95,"B","C")))</f>
      </c>
    </row>
    <row r="1888">
      <c r="E1888" s="12">
        <f>IF(OR(NOT(ISNUMBER($C1888)),$A1889=""),"",$C1888+N($E1887))</f>
      </c>
      <c r="F1888" s="13">
        <f>IF(NOT(ISNUMBER($E1888)),"",IF($E1888-$C1888&lt;0.8,"A",IF($E1888-$C1888&lt;0.95,"B","C")))</f>
      </c>
    </row>
    <row r="1889">
      <c r="E1889" s="12">
        <f>IF(OR(NOT(ISNUMBER($C1889)),$A1890=""),"",$C1889+N($E1888))</f>
      </c>
      <c r="F1889" s="13">
        <f>IF(NOT(ISNUMBER($E1889)),"",IF($E1889-$C1889&lt;0.8,"A",IF($E1889-$C1889&lt;0.95,"B","C")))</f>
      </c>
    </row>
    <row r="1890">
      <c r="E1890" s="12">
        <f>IF(OR(NOT(ISNUMBER($C1890)),$A1891=""),"",$C1890+N($E1889))</f>
      </c>
      <c r="F1890" s="13">
        <f>IF(NOT(ISNUMBER($E1890)),"",IF($E1890-$C1890&lt;0.8,"A",IF($E1890-$C1890&lt;0.95,"B","C")))</f>
      </c>
    </row>
    <row r="1891">
      <c r="E1891" s="12">
        <f>IF(OR(NOT(ISNUMBER($C1891)),$A1892=""),"",$C1891+N($E1890))</f>
      </c>
      <c r="F1891" s="13">
        <f>IF(NOT(ISNUMBER($E1891)),"",IF($E1891-$C1891&lt;0.8,"A",IF($E1891-$C1891&lt;0.95,"B","C")))</f>
      </c>
    </row>
    <row r="1892">
      <c r="E1892" s="12">
        <f>IF(OR(NOT(ISNUMBER($C1892)),$A1893=""),"",$C1892+N($E1891))</f>
      </c>
      <c r="F1892" s="13">
        <f>IF(NOT(ISNUMBER($E1892)),"",IF($E1892-$C1892&lt;0.8,"A",IF($E1892-$C1892&lt;0.95,"B","C")))</f>
      </c>
    </row>
    <row r="1893">
      <c r="E1893" s="12">
        <f>IF(OR(NOT(ISNUMBER($C1893)),$A1894=""),"",$C1893+N($E1892))</f>
      </c>
      <c r="F1893" s="13">
        <f>IF(NOT(ISNUMBER($E1893)),"",IF($E1893-$C1893&lt;0.8,"A",IF($E1893-$C1893&lt;0.95,"B","C")))</f>
      </c>
    </row>
    <row r="1894">
      <c r="E1894" s="12">
        <f>IF(OR(NOT(ISNUMBER($C1894)),$A1895=""),"",$C1894+N($E1893))</f>
      </c>
      <c r="F1894" s="13">
        <f>IF(NOT(ISNUMBER($E1894)),"",IF($E1894-$C1894&lt;0.8,"A",IF($E1894-$C1894&lt;0.95,"B","C")))</f>
      </c>
    </row>
    <row r="1895">
      <c r="E1895" s="12">
        <f>IF(OR(NOT(ISNUMBER($C1895)),$A1896=""),"",$C1895+N($E1894))</f>
      </c>
      <c r="F1895" s="13">
        <f>IF(NOT(ISNUMBER($E1895)),"",IF($E1895-$C1895&lt;0.8,"A",IF($E1895-$C1895&lt;0.95,"B","C")))</f>
      </c>
    </row>
    <row r="1896">
      <c r="E1896" s="12">
        <f>IF(OR(NOT(ISNUMBER($C1896)),$A1897=""),"",$C1896+N($E1895))</f>
      </c>
      <c r="F1896" s="13">
        <f>IF(NOT(ISNUMBER($E1896)),"",IF($E1896-$C1896&lt;0.8,"A",IF($E1896-$C1896&lt;0.95,"B","C")))</f>
      </c>
    </row>
    <row r="1897">
      <c r="E1897" s="12">
        <f>IF(OR(NOT(ISNUMBER($C1897)),$A1898=""),"",$C1897+N($E1896))</f>
      </c>
      <c r="F1897" s="13">
        <f>IF(NOT(ISNUMBER($E1897)),"",IF($E1897-$C1897&lt;0.8,"A",IF($E1897-$C1897&lt;0.95,"B","C")))</f>
      </c>
    </row>
    <row r="1898">
      <c r="E1898" s="12">
        <f>IF(OR(NOT(ISNUMBER($C1898)),$A1899=""),"",$C1898+N($E1897))</f>
      </c>
      <c r="F1898" s="13">
        <f>IF(NOT(ISNUMBER($E1898)),"",IF($E1898-$C1898&lt;0.8,"A",IF($E1898-$C1898&lt;0.95,"B","C")))</f>
      </c>
    </row>
    <row r="1899">
      <c r="E1899" s="12">
        <f>IF(OR(NOT(ISNUMBER($C1899)),$A1900=""),"",$C1899+N($E1898))</f>
      </c>
      <c r="F1899" s="13">
        <f>IF(NOT(ISNUMBER($E1899)),"",IF($E1899-$C1899&lt;0.8,"A",IF($E1899-$C1899&lt;0.95,"B","C")))</f>
      </c>
    </row>
    <row r="1900">
      <c r="E1900" s="12">
        <f>IF(OR(NOT(ISNUMBER($C1900)),$A1901=""),"",$C1900+N($E1899))</f>
      </c>
      <c r="F1900" s="13">
        <f>IF(NOT(ISNUMBER($E1900)),"",IF($E1900-$C1900&lt;0.8,"A",IF($E1900-$C1900&lt;0.95,"B","C")))</f>
      </c>
    </row>
    <row r="1901">
      <c r="E1901" s="12">
        <f>IF(OR(NOT(ISNUMBER($C1901)),$A1902=""),"",$C1901+N($E1900))</f>
      </c>
      <c r="F1901" s="13">
        <f>IF(NOT(ISNUMBER($E1901)),"",IF($E1901-$C1901&lt;0.8,"A",IF($E1901-$C1901&lt;0.95,"B","C")))</f>
      </c>
    </row>
    <row r="1902">
      <c r="E1902" s="12">
        <f>IF(OR(NOT(ISNUMBER($C1902)),$A1903=""),"",$C1902+N($E1901))</f>
      </c>
      <c r="F1902" s="13">
        <f>IF(NOT(ISNUMBER($E1902)),"",IF($E1902-$C1902&lt;0.8,"A",IF($E1902-$C1902&lt;0.95,"B","C")))</f>
      </c>
    </row>
    <row r="1903">
      <c r="E1903" s="12">
        <f>IF(OR(NOT(ISNUMBER($C1903)),$A1904=""),"",$C1903+N($E1902))</f>
      </c>
      <c r="F1903" s="13">
        <f>IF(NOT(ISNUMBER($E1903)),"",IF($E1903-$C1903&lt;0.8,"A",IF($E1903-$C1903&lt;0.95,"B","C")))</f>
      </c>
    </row>
    <row r="1904">
      <c r="E1904" s="12">
        <f>IF(OR(NOT(ISNUMBER($C1904)),$A1905=""),"",$C1904+N($E1903))</f>
      </c>
      <c r="F1904" s="13">
        <f>IF(NOT(ISNUMBER($E1904)),"",IF($E1904-$C1904&lt;0.8,"A",IF($E1904-$C1904&lt;0.95,"B","C")))</f>
      </c>
    </row>
    <row r="1905">
      <c r="E1905" s="12">
        <f>IF(OR(NOT(ISNUMBER($C1905)),$A1906=""),"",$C1905+N($E1904))</f>
      </c>
      <c r="F1905" s="13">
        <f>IF(NOT(ISNUMBER($E1905)),"",IF($E1905-$C1905&lt;0.8,"A",IF($E1905-$C1905&lt;0.95,"B","C")))</f>
      </c>
    </row>
    <row r="1906">
      <c r="E1906" s="12">
        <f>IF(OR(NOT(ISNUMBER($C1906)),$A1907=""),"",$C1906+N($E1905))</f>
      </c>
      <c r="F1906" s="13">
        <f>IF(NOT(ISNUMBER($E1906)),"",IF($E1906-$C1906&lt;0.8,"A",IF($E1906-$C1906&lt;0.95,"B","C")))</f>
      </c>
    </row>
    <row r="1907">
      <c r="E1907" s="12">
        <f>IF(OR(NOT(ISNUMBER($C1907)),$A1908=""),"",$C1907+N($E1906))</f>
      </c>
      <c r="F1907" s="13">
        <f>IF(NOT(ISNUMBER($E1907)),"",IF($E1907-$C1907&lt;0.8,"A",IF($E1907-$C1907&lt;0.95,"B","C")))</f>
      </c>
    </row>
    <row r="1908">
      <c r="E1908" s="12">
        <f>IF(OR(NOT(ISNUMBER($C1908)),$A1909=""),"",$C1908+N($E1907))</f>
      </c>
      <c r="F1908" s="13">
        <f>IF(NOT(ISNUMBER($E1908)),"",IF($E1908-$C1908&lt;0.8,"A",IF($E1908-$C1908&lt;0.95,"B","C")))</f>
      </c>
    </row>
    <row r="1909">
      <c r="E1909" s="12">
        <f>IF(OR(NOT(ISNUMBER($C1909)),$A1910=""),"",$C1909+N($E1908))</f>
      </c>
      <c r="F1909" s="13">
        <f>IF(NOT(ISNUMBER($E1909)),"",IF($E1909-$C1909&lt;0.8,"A",IF($E1909-$C1909&lt;0.95,"B","C")))</f>
      </c>
    </row>
    <row r="1910">
      <c r="E1910" s="12">
        <f>IF(OR(NOT(ISNUMBER($C1910)),$A1911=""),"",$C1910+N($E1909))</f>
      </c>
      <c r="F1910" s="13">
        <f>IF(NOT(ISNUMBER($E1910)),"",IF($E1910-$C1910&lt;0.8,"A",IF($E1910-$C1910&lt;0.95,"B","C")))</f>
      </c>
    </row>
    <row r="1911">
      <c r="E1911" s="12">
        <f>IF(OR(NOT(ISNUMBER($C1911)),$A1912=""),"",$C1911+N($E1910))</f>
      </c>
      <c r="F1911" s="13">
        <f>IF(NOT(ISNUMBER($E1911)),"",IF($E1911-$C1911&lt;0.8,"A",IF($E1911-$C1911&lt;0.95,"B","C")))</f>
      </c>
    </row>
    <row r="1912">
      <c r="E1912" s="12">
        <f>IF(OR(NOT(ISNUMBER($C1912)),$A1913=""),"",$C1912+N($E1911))</f>
      </c>
      <c r="F1912" s="13">
        <f>IF(NOT(ISNUMBER($E1912)),"",IF($E1912-$C1912&lt;0.8,"A",IF($E1912-$C1912&lt;0.95,"B","C")))</f>
      </c>
    </row>
    <row r="1913">
      <c r="E1913" s="12">
        <f>IF(OR(NOT(ISNUMBER($C1913)),$A1914=""),"",$C1913+N($E1912))</f>
      </c>
      <c r="F1913" s="13">
        <f>IF(NOT(ISNUMBER($E1913)),"",IF($E1913-$C1913&lt;0.8,"A",IF($E1913-$C1913&lt;0.95,"B","C")))</f>
      </c>
    </row>
    <row r="1914">
      <c r="E1914" s="12">
        <f>IF(OR(NOT(ISNUMBER($C1914)),$A1915=""),"",$C1914+N($E1913))</f>
      </c>
      <c r="F1914" s="13">
        <f>IF(NOT(ISNUMBER($E1914)),"",IF($E1914-$C1914&lt;0.8,"A",IF($E1914-$C1914&lt;0.95,"B","C")))</f>
      </c>
    </row>
    <row r="1915">
      <c r="E1915" s="12">
        <f>IF(OR(NOT(ISNUMBER($C1915)),$A1916=""),"",$C1915+N($E1914))</f>
      </c>
      <c r="F1915" s="13">
        <f>IF(NOT(ISNUMBER($E1915)),"",IF($E1915-$C1915&lt;0.8,"A",IF($E1915-$C1915&lt;0.95,"B","C")))</f>
      </c>
    </row>
    <row r="1916">
      <c r="E1916" s="12">
        <f>IF(OR(NOT(ISNUMBER($C1916)),$A1917=""),"",$C1916+N($E1915))</f>
      </c>
      <c r="F1916" s="13">
        <f>IF(NOT(ISNUMBER($E1916)),"",IF($E1916-$C1916&lt;0.8,"A",IF($E1916-$C1916&lt;0.95,"B","C")))</f>
      </c>
    </row>
    <row r="1917">
      <c r="E1917" s="12">
        <f>IF(OR(NOT(ISNUMBER($C1917)),$A1918=""),"",$C1917+N($E1916))</f>
      </c>
      <c r="F1917" s="13">
        <f>IF(NOT(ISNUMBER($E1917)),"",IF($E1917-$C1917&lt;0.8,"A",IF($E1917-$C1917&lt;0.95,"B","C")))</f>
      </c>
    </row>
    <row r="1918">
      <c r="E1918" s="12">
        <f>IF(OR(NOT(ISNUMBER($C1918)),$A1919=""),"",$C1918+N($E1917))</f>
      </c>
      <c r="F1918" s="13">
        <f>IF(NOT(ISNUMBER($E1918)),"",IF($E1918-$C1918&lt;0.8,"A",IF($E1918-$C1918&lt;0.95,"B","C")))</f>
      </c>
    </row>
    <row r="1919">
      <c r="E1919" s="12">
        <f>IF(OR(NOT(ISNUMBER($C1919)),$A1920=""),"",$C1919+N($E1918))</f>
      </c>
      <c r="F1919" s="13">
        <f>IF(NOT(ISNUMBER($E1919)),"",IF($E1919-$C1919&lt;0.8,"A",IF($E1919-$C1919&lt;0.95,"B","C")))</f>
      </c>
    </row>
    <row r="1920">
      <c r="E1920" s="12">
        <f>IF(OR(NOT(ISNUMBER($C1920)),$A1921=""),"",$C1920+N($E1919))</f>
      </c>
      <c r="F1920" s="13">
        <f>IF(NOT(ISNUMBER($E1920)),"",IF($E1920-$C1920&lt;0.8,"A",IF($E1920-$C1920&lt;0.95,"B","C")))</f>
      </c>
    </row>
    <row r="1921">
      <c r="E1921" s="12">
        <f>IF(OR(NOT(ISNUMBER($C1921)),$A1922=""),"",$C1921+N($E1920))</f>
      </c>
      <c r="F1921" s="13">
        <f>IF(NOT(ISNUMBER($E1921)),"",IF($E1921-$C1921&lt;0.8,"A",IF($E1921-$C1921&lt;0.95,"B","C")))</f>
      </c>
    </row>
    <row r="1922">
      <c r="E1922" s="12">
        <f>IF(OR(NOT(ISNUMBER($C1922)),$A1923=""),"",$C1922+N($E1921))</f>
      </c>
      <c r="F1922" s="13">
        <f>IF(NOT(ISNUMBER($E1922)),"",IF($E1922-$C1922&lt;0.8,"A",IF($E1922-$C1922&lt;0.95,"B","C")))</f>
      </c>
    </row>
    <row r="1923">
      <c r="E1923" s="12">
        <f>IF(OR(NOT(ISNUMBER($C1923)),$A1924=""),"",$C1923+N($E1922))</f>
      </c>
      <c r="F1923" s="13">
        <f>IF(NOT(ISNUMBER($E1923)),"",IF($E1923-$C1923&lt;0.8,"A",IF($E1923-$C1923&lt;0.95,"B","C")))</f>
      </c>
    </row>
    <row r="1924">
      <c r="E1924" s="12">
        <f>IF(OR(NOT(ISNUMBER($C1924)),$A1925=""),"",$C1924+N($E1923))</f>
      </c>
      <c r="F1924" s="13">
        <f>IF(NOT(ISNUMBER($E1924)),"",IF($E1924-$C1924&lt;0.8,"A",IF($E1924-$C1924&lt;0.95,"B","C")))</f>
      </c>
    </row>
    <row r="1925">
      <c r="E1925" s="12">
        <f>IF(OR(NOT(ISNUMBER($C1925)),$A1926=""),"",$C1925+N($E1924))</f>
      </c>
      <c r="F1925" s="13">
        <f>IF(NOT(ISNUMBER($E1925)),"",IF($E1925-$C1925&lt;0.8,"A",IF($E1925-$C1925&lt;0.95,"B","C")))</f>
      </c>
    </row>
    <row r="1926">
      <c r="E1926" s="12">
        <f>IF(OR(NOT(ISNUMBER($C1926)),$A1927=""),"",$C1926+N($E1925))</f>
      </c>
      <c r="F1926" s="13">
        <f>IF(NOT(ISNUMBER($E1926)),"",IF($E1926-$C1926&lt;0.8,"A",IF($E1926-$C1926&lt;0.95,"B","C")))</f>
      </c>
    </row>
    <row r="1927">
      <c r="E1927" s="12">
        <f>IF(OR(NOT(ISNUMBER($C1927)),$A1928=""),"",$C1927+N($E1926))</f>
      </c>
      <c r="F1927" s="13">
        <f>IF(NOT(ISNUMBER($E1927)),"",IF($E1927-$C1927&lt;0.8,"A",IF($E1927-$C1927&lt;0.95,"B","C")))</f>
      </c>
    </row>
    <row r="1928">
      <c r="E1928" s="12">
        <f>IF(OR(NOT(ISNUMBER($C1928)),$A1929=""),"",$C1928+N($E1927))</f>
      </c>
      <c r="F1928" s="13">
        <f>IF(NOT(ISNUMBER($E1928)),"",IF($E1928-$C1928&lt;0.8,"A",IF($E1928-$C1928&lt;0.95,"B","C")))</f>
      </c>
    </row>
    <row r="1929">
      <c r="E1929" s="12">
        <f>IF(OR(NOT(ISNUMBER($C1929)),$A1930=""),"",$C1929+N($E1928))</f>
      </c>
      <c r="F1929" s="13">
        <f>IF(NOT(ISNUMBER($E1929)),"",IF($E1929-$C1929&lt;0.8,"A",IF($E1929-$C1929&lt;0.95,"B","C")))</f>
      </c>
    </row>
    <row r="1930">
      <c r="E1930" s="12">
        <f>IF(OR(NOT(ISNUMBER($C1930)),$A1931=""),"",$C1930+N($E1929))</f>
      </c>
      <c r="F1930" s="13">
        <f>IF(NOT(ISNUMBER($E1930)),"",IF($E1930-$C1930&lt;0.8,"A",IF($E1930-$C1930&lt;0.95,"B","C")))</f>
      </c>
    </row>
    <row r="1931">
      <c r="E1931" s="12">
        <f>IF(OR(NOT(ISNUMBER($C1931)),$A1932=""),"",$C1931+N($E1930))</f>
      </c>
      <c r="F1931" s="13">
        <f>IF(NOT(ISNUMBER($E1931)),"",IF($E1931-$C1931&lt;0.8,"A",IF($E1931-$C1931&lt;0.95,"B","C")))</f>
      </c>
    </row>
    <row r="1932">
      <c r="E1932" s="12">
        <f>IF(OR(NOT(ISNUMBER($C1932)),$A1933=""),"",$C1932+N($E1931))</f>
      </c>
      <c r="F1932" s="13">
        <f>IF(NOT(ISNUMBER($E1932)),"",IF($E1932-$C1932&lt;0.8,"A",IF($E1932-$C1932&lt;0.95,"B","C")))</f>
      </c>
    </row>
    <row r="1933">
      <c r="E1933" s="12">
        <f>IF(OR(NOT(ISNUMBER($C1933)),$A1934=""),"",$C1933+N($E1932))</f>
      </c>
      <c r="F1933" s="13">
        <f>IF(NOT(ISNUMBER($E1933)),"",IF($E1933-$C1933&lt;0.8,"A",IF($E1933-$C1933&lt;0.95,"B","C")))</f>
      </c>
    </row>
    <row r="1934">
      <c r="E1934" s="12">
        <f>IF(OR(NOT(ISNUMBER($C1934)),$A1935=""),"",$C1934+N($E1933))</f>
      </c>
      <c r="F1934" s="13">
        <f>IF(NOT(ISNUMBER($E1934)),"",IF($E1934-$C1934&lt;0.8,"A",IF($E1934-$C1934&lt;0.95,"B","C")))</f>
      </c>
    </row>
    <row r="1935">
      <c r="E1935" s="12">
        <f>IF(OR(NOT(ISNUMBER($C1935)),$A1936=""),"",$C1935+N($E1934))</f>
      </c>
      <c r="F1935" s="13">
        <f>IF(NOT(ISNUMBER($E1935)),"",IF($E1935-$C1935&lt;0.8,"A",IF($E1935-$C1935&lt;0.95,"B","C")))</f>
      </c>
    </row>
    <row r="1936">
      <c r="E1936" s="12">
        <f>IF(OR(NOT(ISNUMBER($C1936)),$A1937=""),"",$C1936+N($E1935))</f>
      </c>
      <c r="F1936" s="13">
        <f>IF(NOT(ISNUMBER($E1936)),"",IF($E1936-$C1936&lt;0.8,"A",IF($E1936-$C1936&lt;0.95,"B","C")))</f>
      </c>
    </row>
    <row r="1937">
      <c r="E1937" s="12">
        <f>IF(OR(NOT(ISNUMBER($C1937)),$A1938=""),"",$C1937+N($E1936))</f>
      </c>
      <c r="F1937" s="13">
        <f>IF(NOT(ISNUMBER($E1937)),"",IF($E1937-$C1937&lt;0.8,"A",IF($E1937-$C1937&lt;0.95,"B","C")))</f>
      </c>
    </row>
    <row r="1938">
      <c r="E1938" s="12">
        <f>IF(OR(NOT(ISNUMBER($C1938)),$A1939=""),"",$C1938+N($E1937))</f>
      </c>
      <c r="F1938" s="13">
        <f>IF(NOT(ISNUMBER($E1938)),"",IF($E1938-$C1938&lt;0.8,"A",IF($E1938-$C1938&lt;0.95,"B","C")))</f>
      </c>
    </row>
    <row r="1939">
      <c r="E1939" s="12">
        <f>IF(OR(NOT(ISNUMBER($C1939)),$A1940=""),"",$C1939+N($E1938))</f>
      </c>
      <c r="F1939" s="13">
        <f>IF(NOT(ISNUMBER($E1939)),"",IF($E1939-$C1939&lt;0.8,"A",IF($E1939-$C1939&lt;0.95,"B","C")))</f>
      </c>
    </row>
    <row r="1940">
      <c r="E1940" s="12">
        <f>IF(OR(NOT(ISNUMBER($C1940)),$A1941=""),"",$C1940+N($E1939))</f>
      </c>
      <c r="F1940" s="13">
        <f>IF(NOT(ISNUMBER($E1940)),"",IF($E1940-$C1940&lt;0.8,"A",IF($E1940-$C1940&lt;0.95,"B","C")))</f>
      </c>
    </row>
    <row r="1941">
      <c r="E1941" s="12">
        <f>IF(OR(NOT(ISNUMBER($C1941)),$A1942=""),"",$C1941+N($E1940))</f>
      </c>
      <c r="F1941" s="13">
        <f>IF(NOT(ISNUMBER($E1941)),"",IF($E1941-$C1941&lt;0.8,"A",IF($E1941-$C1941&lt;0.95,"B","C")))</f>
      </c>
    </row>
    <row r="1942">
      <c r="E1942" s="12">
        <f>IF(OR(NOT(ISNUMBER($C1942)),$A1943=""),"",$C1942+N($E1941))</f>
      </c>
      <c r="F1942" s="13">
        <f>IF(NOT(ISNUMBER($E1942)),"",IF($E1942-$C1942&lt;0.8,"A",IF($E1942-$C1942&lt;0.95,"B","C")))</f>
      </c>
    </row>
    <row r="1943">
      <c r="E1943" s="12">
        <f>IF(OR(NOT(ISNUMBER($C1943)),$A1944=""),"",$C1943+N($E1942))</f>
      </c>
      <c r="F1943" s="13">
        <f>IF(NOT(ISNUMBER($E1943)),"",IF($E1943-$C1943&lt;0.8,"A",IF($E1943-$C1943&lt;0.95,"B","C")))</f>
      </c>
    </row>
    <row r="1944">
      <c r="E1944" s="12">
        <f>IF(OR(NOT(ISNUMBER($C1944)),$A1945=""),"",$C1944+N($E1943))</f>
      </c>
      <c r="F1944" s="13">
        <f>IF(NOT(ISNUMBER($E1944)),"",IF($E1944-$C1944&lt;0.8,"A",IF($E1944-$C1944&lt;0.95,"B","C")))</f>
      </c>
    </row>
    <row r="1945">
      <c r="E1945" s="12">
        <f>IF(OR(NOT(ISNUMBER($C1945)),$A1946=""),"",$C1945+N($E1944))</f>
      </c>
      <c r="F1945" s="13">
        <f>IF(NOT(ISNUMBER($E1945)),"",IF($E1945-$C1945&lt;0.8,"A",IF($E1945-$C1945&lt;0.95,"B","C")))</f>
      </c>
    </row>
    <row r="1946">
      <c r="E1946" s="12">
        <f>IF(OR(NOT(ISNUMBER($C1946)),$A1947=""),"",$C1946+N($E1945))</f>
      </c>
      <c r="F1946" s="13">
        <f>IF(NOT(ISNUMBER($E1946)),"",IF($E1946-$C1946&lt;0.8,"A",IF($E1946-$C1946&lt;0.95,"B","C")))</f>
      </c>
    </row>
    <row r="1947">
      <c r="E1947" s="12">
        <f>IF(OR(NOT(ISNUMBER($C1947)),$A1948=""),"",$C1947+N($E1946))</f>
      </c>
      <c r="F1947" s="13">
        <f>IF(NOT(ISNUMBER($E1947)),"",IF($E1947-$C1947&lt;0.8,"A",IF($E1947-$C1947&lt;0.95,"B","C")))</f>
      </c>
    </row>
    <row r="1948">
      <c r="E1948" s="12">
        <f>IF(OR(NOT(ISNUMBER($C1948)),$A1949=""),"",$C1948+N($E1947))</f>
      </c>
      <c r="F1948" s="13">
        <f>IF(NOT(ISNUMBER($E1948)),"",IF($E1948-$C1948&lt;0.8,"A",IF($E1948-$C1948&lt;0.95,"B","C")))</f>
      </c>
    </row>
    <row r="1949">
      <c r="E1949" s="12">
        <f>IF(OR(NOT(ISNUMBER($C1949)),$A1950=""),"",$C1949+N($E1948))</f>
      </c>
      <c r="F1949" s="13">
        <f>IF(NOT(ISNUMBER($E1949)),"",IF($E1949-$C1949&lt;0.8,"A",IF($E1949-$C1949&lt;0.95,"B","C")))</f>
      </c>
    </row>
    <row r="1950">
      <c r="E1950" s="12">
        <f>IF(OR(NOT(ISNUMBER($C1950)),$A1951=""),"",$C1950+N($E1949))</f>
      </c>
      <c r="F1950" s="13">
        <f>IF(NOT(ISNUMBER($E1950)),"",IF($E1950-$C1950&lt;0.8,"A",IF($E1950-$C1950&lt;0.95,"B","C")))</f>
      </c>
    </row>
    <row r="1951">
      <c r="E1951" s="12">
        <f>IF(OR(NOT(ISNUMBER($C1951)),$A1952=""),"",$C1951+N($E1950))</f>
      </c>
      <c r="F1951" s="13">
        <f>IF(NOT(ISNUMBER($E1951)),"",IF($E1951-$C1951&lt;0.8,"A",IF($E1951-$C1951&lt;0.95,"B","C")))</f>
      </c>
    </row>
    <row r="1952">
      <c r="E1952" s="12">
        <f>IF(OR(NOT(ISNUMBER($C1952)),$A1953=""),"",$C1952+N($E1951))</f>
      </c>
      <c r="F1952" s="13">
        <f>IF(NOT(ISNUMBER($E1952)),"",IF($E1952-$C1952&lt;0.8,"A",IF($E1952-$C1952&lt;0.95,"B","C")))</f>
      </c>
    </row>
    <row r="1953">
      <c r="E1953" s="12">
        <f>IF(OR(NOT(ISNUMBER($C1953)),$A1954=""),"",$C1953+N($E1952))</f>
      </c>
      <c r="F1953" s="13">
        <f>IF(NOT(ISNUMBER($E1953)),"",IF($E1953-$C1953&lt;0.8,"A",IF($E1953-$C1953&lt;0.95,"B","C")))</f>
      </c>
    </row>
    <row r="1954">
      <c r="E1954" s="12">
        <f>IF(OR(NOT(ISNUMBER($C1954)),$A1955=""),"",$C1954+N($E1953))</f>
      </c>
      <c r="F1954" s="13">
        <f>IF(NOT(ISNUMBER($E1954)),"",IF($E1954-$C1954&lt;0.8,"A",IF($E1954-$C1954&lt;0.95,"B","C")))</f>
      </c>
    </row>
    <row r="1955">
      <c r="E1955" s="12">
        <f>IF(OR(NOT(ISNUMBER($C1955)),$A1956=""),"",$C1955+N($E1954))</f>
      </c>
      <c r="F1955" s="13">
        <f>IF(NOT(ISNUMBER($E1955)),"",IF($E1955-$C1955&lt;0.8,"A",IF($E1955-$C1955&lt;0.95,"B","C")))</f>
      </c>
    </row>
    <row r="1956">
      <c r="E1956" s="12">
        <f>IF(OR(NOT(ISNUMBER($C1956)),$A1957=""),"",$C1956+N($E1955))</f>
      </c>
      <c r="F1956" s="13">
        <f>IF(NOT(ISNUMBER($E1956)),"",IF($E1956-$C1956&lt;0.8,"A",IF($E1956-$C1956&lt;0.95,"B","C")))</f>
      </c>
    </row>
    <row r="1957">
      <c r="E1957" s="12">
        <f>IF(OR(NOT(ISNUMBER($C1957)),$A1958=""),"",$C1957+N($E1956))</f>
      </c>
      <c r="F1957" s="13">
        <f>IF(NOT(ISNUMBER($E1957)),"",IF($E1957-$C1957&lt;0.8,"A",IF($E1957-$C1957&lt;0.95,"B","C")))</f>
      </c>
    </row>
    <row r="1958">
      <c r="E1958" s="12">
        <f>IF(OR(NOT(ISNUMBER($C1958)),$A1959=""),"",$C1958+N($E1957))</f>
      </c>
      <c r="F1958" s="13">
        <f>IF(NOT(ISNUMBER($E1958)),"",IF($E1958-$C1958&lt;0.8,"A",IF($E1958-$C1958&lt;0.95,"B","C")))</f>
      </c>
    </row>
    <row r="1959">
      <c r="E1959" s="12">
        <f>IF(OR(NOT(ISNUMBER($C1959)),$A1960=""),"",$C1959+N($E1958))</f>
      </c>
      <c r="F1959" s="13">
        <f>IF(NOT(ISNUMBER($E1959)),"",IF($E1959-$C1959&lt;0.8,"A",IF($E1959-$C1959&lt;0.95,"B","C")))</f>
      </c>
    </row>
    <row r="1960">
      <c r="E1960" s="12">
        <f>IF(OR(NOT(ISNUMBER($C1960)),$A1961=""),"",$C1960+N($E1959))</f>
      </c>
      <c r="F1960" s="13">
        <f>IF(NOT(ISNUMBER($E1960)),"",IF($E1960-$C1960&lt;0.8,"A",IF($E1960-$C1960&lt;0.95,"B","C")))</f>
      </c>
    </row>
    <row r="1961">
      <c r="E1961" s="12">
        <f>IF(OR(NOT(ISNUMBER($C1961)),$A1962=""),"",$C1961+N($E1960))</f>
      </c>
      <c r="F1961" s="13">
        <f>IF(NOT(ISNUMBER($E1961)),"",IF($E1961-$C1961&lt;0.8,"A",IF($E1961-$C1961&lt;0.95,"B","C")))</f>
      </c>
    </row>
    <row r="1962">
      <c r="E1962" s="12">
        <f>IF(OR(NOT(ISNUMBER($C1962)),$A1963=""),"",$C1962+N($E1961))</f>
      </c>
      <c r="F1962" s="13">
        <f>IF(NOT(ISNUMBER($E1962)),"",IF($E1962-$C1962&lt;0.8,"A",IF($E1962-$C1962&lt;0.95,"B","C")))</f>
      </c>
    </row>
    <row r="1963">
      <c r="E1963" s="12">
        <f>IF(OR(NOT(ISNUMBER($C1963)),$A1964=""),"",$C1963+N($E1962))</f>
      </c>
      <c r="F1963" s="13">
        <f>IF(NOT(ISNUMBER($E1963)),"",IF($E1963-$C1963&lt;0.8,"A",IF($E1963-$C1963&lt;0.95,"B","C")))</f>
      </c>
    </row>
    <row r="1964">
      <c r="E1964" s="12">
        <f>IF(OR(NOT(ISNUMBER($C1964)),$A1965=""),"",$C1964+N($E1963))</f>
      </c>
      <c r="F1964" s="13">
        <f>IF(NOT(ISNUMBER($E1964)),"",IF($E1964-$C1964&lt;0.8,"A",IF($E1964-$C1964&lt;0.95,"B","C")))</f>
      </c>
    </row>
    <row r="1965">
      <c r="E1965" s="12">
        <f>IF(OR(NOT(ISNUMBER($C1965)),$A1966=""),"",$C1965+N($E1964))</f>
      </c>
      <c r="F1965" s="13">
        <f>IF(NOT(ISNUMBER($E1965)),"",IF($E1965-$C1965&lt;0.8,"A",IF($E1965-$C1965&lt;0.95,"B","C")))</f>
      </c>
    </row>
    <row r="1966">
      <c r="E1966" s="12">
        <f>IF(OR(NOT(ISNUMBER($C1966)),$A1967=""),"",$C1966+N($E1965))</f>
      </c>
      <c r="F1966" s="13">
        <f>IF(NOT(ISNUMBER($E1966)),"",IF($E1966-$C1966&lt;0.8,"A",IF($E1966-$C1966&lt;0.95,"B","C")))</f>
      </c>
    </row>
    <row r="1967">
      <c r="E1967" s="12">
        <f>IF(OR(NOT(ISNUMBER($C1967)),$A1968=""),"",$C1967+N($E1966))</f>
      </c>
      <c r="F1967" s="13">
        <f>IF(NOT(ISNUMBER($E1967)),"",IF($E1967-$C1967&lt;0.8,"A",IF($E1967-$C1967&lt;0.95,"B","C")))</f>
      </c>
    </row>
    <row r="1968">
      <c r="E1968" s="12">
        <f>IF(OR(NOT(ISNUMBER($C1968)),$A1969=""),"",$C1968+N($E1967))</f>
      </c>
      <c r="F1968" s="13">
        <f>IF(NOT(ISNUMBER($E1968)),"",IF($E1968-$C1968&lt;0.8,"A",IF($E1968-$C1968&lt;0.95,"B","C")))</f>
      </c>
    </row>
    <row r="1969">
      <c r="E1969" s="12">
        <f>IF(OR(NOT(ISNUMBER($C1969)),$A1970=""),"",$C1969+N($E1968))</f>
      </c>
      <c r="F1969" s="13">
        <f>IF(NOT(ISNUMBER($E1969)),"",IF($E1969-$C1969&lt;0.8,"A",IF($E1969-$C1969&lt;0.95,"B","C")))</f>
      </c>
    </row>
    <row r="1970">
      <c r="E1970" s="12">
        <f>IF(OR(NOT(ISNUMBER($C1970)),$A1971=""),"",$C1970+N($E1969))</f>
      </c>
      <c r="F1970" s="13">
        <f>IF(NOT(ISNUMBER($E1970)),"",IF($E1970-$C1970&lt;0.8,"A",IF($E1970-$C1970&lt;0.95,"B","C")))</f>
      </c>
    </row>
    <row r="1971">
      <c r="E1971" s="12">
        <f>IF(OR(NOT(ISNUMBER($C1971)),$A1972=""),"",$C1971+N($E1970))</f>
      </c>
      <c r="F1971" s="13">
        <f>IF(NOT(ISNUMBER($E1971)),"",IF($E1971-$C1971&lt;0.8,"A",IF($E1971-$C1971&lt;0.95,"B","C")))</f>
      </c>
    </row>
    <row r="1972">
      <c r="E1972" s="12">
        <f>IF(OR(NOT(ISNUMBER($C1972)),$A1973=""),"",$C1972+N($E1971))</f>
      </c>
      <c r="F1972" s="13">
        <f>IF(NOT(ISNUMBER($E1972)),"",IF($E1972-$C1972&lt;0.8,"A",IF($E1972-$C1972&lt;0.95,"B","C")))</f>
      </c>
    </row>
    <row r="1973">
      <c r="E1973" s="12">
        <f>IF(OR(NOT(ISNUMBER($C1973)),$A1974=""),"",$C1973+N($E1972))</f>
      </c>
      <c r="F1973" s="13">
        <f>IF(NOT(ISNUMBER($E1973)),"",IF($E1973-$C1973&lt;0.8,"A",IF($E1973-$C1973&lt;0.95,"B","C")))</f>
      </c>
    </row>
    <row r="1974">
      <c r="E1974" s="12">
        <f>IF(OR(NOT(ISNUMBER($C1974)),$A1975=""),"",$C1974+N($E1973))</f>
      </c>
      <c r="F1974" s="13">
        <f>IF(NOT(ISNUMBER($E1974)),"",IF($E1974-$C1974&lt;0.8,"A",IF($E1974-$C1974&lt;0.95,"B","C")))</f>
      </c>
    </row>
    <row r="1975">
      <c r="E1975" s="12">
        <f>IF(OR(NOT(ISNUMBER($C1975)),$A1976=""),"",$C1975+N($E1974))</f>
      </c>
      <c r="F1975" s="13">
        <f>IF(NOT(ISNUMBER($E1975)),"",IF($E1975-$C1975&lt;0.8,"A",IF($E1975-$C1975&lt;0.95,"B","C")))</f>
      </c>
    </row>
    <row r="1976">
      <c r="E1976" s="12">
        <f>IF(OR(NOT(ISNUMBER($C1976)),$A1977=""),"",$C1976+N($E1975))</f>
      </c>
      <c r="F1976" s="13">
        <f>IF(NOT(ISNUMBER($E1976)),"",IF($E1976-$C1976&lt;0.8,"A",IF($E1976-$C1976&lt;0.95,"B","C")))</f>
      </c>
    </row>
    <row r="1977">
      <c r="E1977" s="12">
        <f>IF(OR(NOT(ISNUMBER($C1977)),$A1978=""),"",$C1977+N($E1976))</f>
      </c>
      <c r="F1977" s="13">
        <f>IF(NOT(ISNUMBER($E1977)),"",IF($E1977-$C1977&lt;0.8,"A",IF($E1977-$C1977&lt;0.95,"B","C")))</f>
      </c>
    </row>
    <row r="1978">
      <c r="E1978" s="12">
        <f>IF(OR(NOT(ISNUMBER($C1978)),$A1979=""),"",$C1978+N($E1977))</f>
      </c>
      <c r="F1978" s="13">
        <f>IF(NOT(ISNUMBER($E1978)),"",IF($E1978-$C1978&lt;0.8,"A",IF($E1978-$C1978&lt;0.95,"B","C")))</f>
      </c>
    </row>
    <row r="1979">
      <c r="E1979" s="12">
        <f>IF(OR(NOT(ISNUMBER($C1979)),$A1980=""),"",$C1979+N($E1978))</f>
      </c>
      <c r="F1979" s="13">
        <f>IF(NOT(ISNUMBER($E1979)),"",IF($E1979-$C1979&lt;0.8,"A",IF($E1979-$C1979&lt;0.95,"B","C")))</f>
      </c>
    </row>
    <row r="1980">
      <c r="E1980" s="12">
        <f>IF(OR(NOT(ISNUMBER($C1980)),$A1981=""),"",$C1980+N($E1979))</f>
      </c>
      <c r="F1980" s="13">
        <f>IF(NOT(ISNUMBER($E1980)),"",IF($E1980-$C1980&lt;0.8,"A",IF($E1980-$C1980&lt;0.95,"B","C")))</f>
      </c>
    </row>
    <row r="1981">
      <c r="E1981" s="12">
        <f>IF(OR(NOT(ISNUMBER($C1981)),$A1982=""),"",$C1981+N($E1980))</f>
      </c>
      <c r="F1981" s="13">
        <f>IF(NOT(ISNUMBER($E1981)),"",IF($E1981-$C1981&lt;0.8,"A",IF($E1981-$C1981&lt;0.95,"B","C")))</f>
      </c>
    </row>
    <row r="1982">
      <c r="E1982" s="12">
        <f>IF(OR(NOT(ISNUMBER($C1982)),$A1983=""),"",$C1982+N($E1981))</f>
      </c>
      <c r="F1982" s="13">
        <f>IF(NOT(ISNUMBER($E1982)),"",IF($E1982-$C1982&lt;0.8,"A",IF($E1982-$C1982&lt;0.95,"B","C")))</f>
      </c>
    </row>
    <row r="1983">
      <c r="E1983" s="12">
        <f>IF(OR(NOT(ISNUMBER($C1983)),$A1984=""),"",$C1983+N($E1982))</f>
      </c>
      <c r="F1983" s="13">
        <f>IF(NOT(ISNUMBER($E1983)),"",IF($E1983-$C1983&lt;0.8,"A",IF($E1983-$C1983&lt;0.95,"B","C")))</f>
      </c>
    </row>
    <row r="1984">
      <c r="E1984" s="12">
        <f>IF(OR(NOT(ISNUMBER($C1984)),$A1985=""),"",$C1984+N($E1983))</f>
      </c>
      <c r="F1984" s="13">
        <f>IF(NOT(ISNUMBER($E1984)),"",IF($E1984-$C1984&lt;0.8,"A",IF($E1984-$C1984&lt;0.95,"B","C")))</f>
      </c>
    </row>
    <row r="1985">
      <c r="E1985" s="12">
        <f>IF(OR(NOT(ISNUMBER($C1985)),$A1986=""),"",$C1985+N($E1984))</f>
      </c>
      <c r="F1985" s="13">
        <f>IF(NOT(ISNUMBER($E1985)),"",IF($E1985-$C1985&lt;0.8,"A",IF($E1985-$C1985&lt;0.95,"B","C")))</f>
      </c>
    </row>
    <row r="1986">
      <c r="E1986" s="12">
        <f>IF(OR(NOT(ISNUMBER($C1986)),$A1987=""),"",$C1986+N($E1985))</f>
      </c>
      <c r="F1986" s="13">
        <f>IF(NOT(ISNUMBER($E1986)),"",IF($E1986-$C1986&lt;0.8,"A",IF($E1986-$C1986&lt;0.95,"B","C")))</f>
      </c>
    </row>
    <row r="1987">
      <c r="E1987" s="12">
        <f>IF(OR(NOT(ISNUMBER($C1987)),$A1988=""),"",$C1987+N($E1986))</f>
      </c>
      <c r="F1987" s="13">
        <f>IF(NOT(ISNUMBER($E1987)),"",IF($E1987-$C1987&lt;0.8,"A",IF($E1987-$C1987&lt;0.95,"B","C")))</f>
      </c>
    </row>
    <row r="1988">
      <c r="E1988" s="12">
        <f>IF(OR(NOT(ISNUMBER($C1988)),$A1989=""),"",$C1988+N($E1987))</f>
      </c>
      <c r="F1988" s="13">
        <f>IF(NOT(ISNUMBER($E1988)),"",IF($E1988-$C1988&lt;0.8,"A",IF($E1988-$C1988&lt;0.95,"B","C")))</f>
      </c>
    </row>
    <row r="1989">
      <c r="E1989" s="12">
        <f>IF(OR(NOT(ISNUMBER($C1989)),$A1990=""),"",$C1989+N($E1988))</f>
      </c>
      <c r="F1989" s="13">
        <f>IF(NOT(ISNUMBER($E1989)),"",IF($E1989-$C1989&lt;0.8,"A",IF($E1989-$C1989&lt;0.95,"B","C")))</f>
      </c>
    </row>
    <row r="1990">
      <c r="E1990" s="12">
        <f>IF(OR(NOT(ISNUMBER($C1990)),$A1991=""),"",$C1990+N($E1989))</f>
      </c>
      <c r="F1990" s="13">
        <f>IF(NOT(ISNUMBER($E1990)),"",IF($E1990-$C1990&lt;0.8,"A",IF($E1990-$C1990&lt;0.95,"B","C")))</f>
      </c>
    </row>
    <row r="1991">
      <c r="E1991" s="12">
        <f>IF(OR(NOT(ISNUMBER($C1991)),$A1992=""),"",$C1991+N($E1990))</f>
      </c>
      <c r="F1991" s="13">
        <f>IF(NOT(ISNUMBER($E1991)),"",IF($E1991-$C1991&lt;0.8,"A",IF($E1991-$C1991&lt;0.95,"B","C")))</f>
      </c>
    </row>
    <row r="1992">
      <c r="E1992" s="12">
        <f>IF(OR(NOT(ISNUMBER($C1992)),$A1993=""),"",$C1992+N($E1991))</f>
      </c>
      <c r="F1992" s="13">
        <f>IF(NOT(ISNUMBER($E1992)),"",IF($E1992-$C1992&lt;0.8,"A",IF($E1992-$C1992&lt;0.95,"B","C")))</f>
      </c>
    </row>
    <row r="1993">
      <c r="E1993" s="12">
        <f>IF(OR(NOT(ISNUMBER($C1993)),$A1994=""),"",$C1993+N($E1992))</f>
      </c>
      <c r="F1993" s="13">
        <f>IF(NOT(ISNUMBER($E1993)),"",IF($E1993-$C1993&lt;0.8,"A",IF($E1993-$C1993&lt;0.95,"B","C")))</f>
      </c>
    </row>
    <row r="1994">
      <c r="E1994" s="12">
        <f>IF(OR(NOT(ISNUMBER($C1994)),$A1995=""),"",$C1994+N($E1993))</f>
      </c>
      <c r="F1994" s="13">
        <f>IF(NOT(ISNUMBER($E1994)),"",IF($E1994-$C1994&lt;0.8,"A",IF($E1994-$C1994&lt;0.95,"B","C")))</f>
      </c>
    </row>
    <row r="1995">
      <c r="E1995" s="12">
        <f>IF(OR(NOT(ISNUMBER($C1995)),$A1996=""),"",$C1995+N($E1994))</f>
      </c>
      <c r="F1995" s="13">
        <f>IF(NOT(ISNUMBER($E1995)),"",IF($E1995-$C1995&lt;0.8,"A",IF($E1995-$C1995&lt;0.95,"B","C")))</f>
      </c>
    </row>
    <row r="1996">
      <c r="E1996" s="12">
        <f>IF(OR(NOT(ISNUMBER($C1996)),$A1997=""),"",$C1996+N($E1995))</f>
      </c>
      <c r="F1996" s="13">
        <f>IF(NOT(ISNUMBER($E1996)),"",IF($E1996-$C1996&lt;0.8,"A",IF($E1996-$C1996&lt;0.95,"B","C")))</f>
      </c>
    </row>
    <row r="1997">
      <c r="E1997" s="12">
        <f>IF(OR(NOT(ISNUMBER($C1997)),$A1998=""),"",$C1997+N($E1996))</f>
      </c>
      <c r="F1997" s="13">
        <f>IF(NOT(ISNUMBER($E1997)),"",IF($E1997-$C1997&lt;0.8,"A",IF($E1997-$C1997&lt;0.95,"B","C")))</f>
      </c>
    </row>
    <row r="1998">
      <c r="E1998" s="12">
        <f>IF(OR(NOT(ISNUMBER($C1998)),$A1999=""),"",$C1998+N($E1997))</f>
      </c>
      <c r="F1998" s="13">
        <f>IF(NOT(ISNUMBER($E1998)),"",IF($E1998-$C1998&lt;0.8,"A",IF($E1998-$C1998&lt;0.95,"B","C")))</f>
      </c>
    </row>
    <row r="1999">
      <c r="E1999" s="12">
        <f>IF(OR(NOT(ISNUMBER($C1999)),$A2000=""),"",$C1999+N($E1998))</f>
      </c>
      <c r="F1999" s="13">
        <f>IF(NOT(ISNUMBER($E1999)),"",IF($E1999-$C1999&lt;0.8,"A",IF($E1999-$C1999&lt;0.95,"B","C")))</f>
      </c>
    </row>
    <row r="2000">
      <c r="E2000" s="12">
        <f>IF(OR(NOT(ISNUMBER($C2000)),$A2001=""),"",$C2000+N($E1999))</f>
      </c>
      <c r="F2000" s="13">
        <f>IF(NOT(ISNUMBER($E2000)),"",IF($E2000-$C2000&lt;0.8,"A",IF($E2000-$C2000&lt;0.95,"B","C")))</f>
      </c>
    </row>
  </sheetData>
  <conditionalFormatting sqref="F8:F2000 H8:H10">
    <cfRule type="cellIs" dxfId="16" priority="1" operator="equal">
      <formula>"A"</formula>
    </cfRule>
    <cfRule type="cellIs" dxfId="17" priority="2" operator="equal">
      <formula>"B"</formula>
    </cfRule>
    <cfRule type="cellIs" dxfId="18" priority="3" operator="equal">
      <formula>"C"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41"/>
  <sheetViews>
    <sheetView workbookViewId="0">
      <selection activeCell="A1" sqref="A1"/>
    </sheetView>
  </sheetViews>
  <sheetFormatPr defaultRowHeight="15"/>
  <cols>
    <col min="1" max="1" width="20" customWidth="1"/>
    <col min="2" max="16" width="13" customWidth="1"/>
  </cols>
  <sheetData>
    <row r="1">
      <c r="A1" s="14" t="inlineStr">
        <is>
          <t xml:space="preserve">Interanual: el mismo mes en distintos años</t>
        </is>
      </c>
    </row>
    <row r="2">
      <c r="A2" s="16" t="inlineStr">
        <is>
          <t xml:space="preserve">Compara cada mes con el mismo mes de otros años, separando la estacionalidad (p. ej. diciembre siempre es más caro) de la tendencia real.</t>
        </is>
      </c>
    </row>
    <row r="3">
      <c r="A3" s="16" t="inlineStr">
        <is>
          <t xml:space="preserve">Ojo: el primer y el último año de la serie (y el mes en curso) suelen estar incompletos; por eso el total interanual solo compara los meses con datos en los dos años.</t>
        </is>
      </c>
    </row>
    <row r="4">
      <c r="A4" s="15" t="inlineStr">
        <is>
          <t xml:space="preserve">Gasto por mes y año</t>
        </is>
      </c>
    </row>
    <row r="6">
      <c r="A6" s="2" t="inlineStr">
        <is>
          <t xml:space="preserve">Etiquetas de fila</t>
        </is>
      </c>
    </row>
    <row r="24">
      <c r="A24" s="15" t="inlineStr">
        <is>
          <t xml:space="preserve">% de variación frente al mismo mes del año anterior (rojo: gastas más; verde: gastas menos)</t>
        </is>
      </c>
    </row>
    <row r="25">
      <c r="A25" s="15" t="inlineStr">
        <is>
          <t xml:space="preserve">Mes</t>
        </is>
      </c>
      <c r="B25" s="15">
        <f>IF(OR(B$6="",ISERROR(VALUE(B$6))),"",B$6)</f>
      </c>
      <c r="C25" s="15">
        <f>IF(OR(C$6="",ISERROR(VALUE(C$6))),"",C$6)</f>
      </c>
      <c r="D25" s="15">
        <f>IF(OR(D$6="",ISERROR(VALUE(D$6))),"",D$6)</f>
      </c>
      <c r="E25" s="15">
        <f>IF(OR(E$6="",ISERROR(VALUE(E$6))),"",E$6)</f>
      </c>
      <c r="F25" s="15">
        <f>IF(OR(F$6="",ISERROR(VALUE(F$6))),"",F$6)</f>
      </c>
      <c r="G25" s="15">
        <f>IF(OR(G$6="",ISERROR(VALUE(G$6))),"",G$6)</f>
      </c>
      <c r="H25" s="15">
        <f>IF(OR(H$6="",ISERROR(VALUE(H$6))),"",H$6)</f>
      </c>
      <c r="I25" s="15">
        <f>IF(OR(I$6="",ISERROR(VALUE(I$6))),"",I$6)</f>
      </c>
      <c r="J25" s="15">
        <f>IF(OR(J$6="",ISERROR(VALUE(J$6))),"",J$6)</f>
      </c>
      <c r="K25" s="15">
        <f>IF(OR(K$6="",ISERROR(VALUE(K$6))),"",K$6)</f>
      </c>
      <c r="L25" s="15">
        <f>IF(OR(L$6="",ISERROR(VALUE(L$6))),"",L$6)</f>
      </c>
      <c r="M25" s="15">
        <f>IF(OR(M$6="",ISERROR(VALUE(M$6))),"",M$6)</f>
      </c>
      <c r="N25" s="15">
        <f>IF(OR(N$6="",ISERROR(VALUE(N$6))),"",N$6)</f>
      </c>
      <c r="O25" s="15">
        <f>IF(OR(O$6="",ISERROR(VALUE(O$6))),"",O$6)</f>
      </c>
      <c r="P25" s="15">
        <f>IF(OR(P$6="",ISERROR(VALUE(P$6))),"",P$6)</f>
      </c>
    </row>
    <row r="26">
      <c r="A26">
        <f>IF(OR(A7="",A8=""),"",A7)</f>
      </c>
      <c r="B26" s="17">
        <f>IF(OR(B$25="",$A26="",NOT(ISNUMBER(B7)),NOT(ISNUMBER(A7)),N(A7)=0),"",B7/A7-1)</f>
      </c>
      <c r="C26" s="17">
        <f>IF(OR(C$25="",$A26="",NOT(ISNUMBER(C7)),NOT(ISNUMBER(B7)),N(B7)=0),"",C7/B7-1)</f>
      </c>
      <c r="D26" s="17">
        <f>IF(OR(D$25="",$A26="",NOT(ISNUMBER(D7)),NOT(ISNUMBER(C7)),N(C7)=0),"",D7/C7-1)</f>
      </c>
      <c r="E26" s="17">
        <f>IF(OR(E$25="",$A26="",NOT(ISNUMBER(E7)),NOT(ISNUMBER(D7)),N(D7)=0),"",E7/D7-1)</f>
      </c>
      <c r="F26" s="17">
        <f>IF(OR(F$25="",$A26="",NOT(ISNUMBER(F7)),NOT(ISNUMBER(E7)),N(E7)=0),"",F7/E7-1)</f>
      </c>
      <c r="G26" s="17">
        <f>IF(OR(G$25="",$A26="",NOT(ISNUMBER(G7)),NOT(ISNUMBER(F7)),N(F7)=0),"",G7/F7-1)</f>
      </c>
      <c r="H26" s="17">
        <f>IF(OR(H$25="",$A26="",NOT(ISNUMBER(H7)),NOT(ISNUMBER(G7)),N(G7)=0),"",H7/G7-1)</f>
      </c>
      <c r="I26" s="17">
        <f>IF(OR(I$25="",$A26="",NOT(ISNUMBER(I7)),NOT(ISNUMBER(H7)),N(H7)=0),"",I7/H7-1)</f>
      </c>
      <c r="J26" s="17">
        <f>IF(OR(J$25="",$A26="",NOT(ISNUMBER(J7)),NOT(ISNUMBER(I7)),N(I7)=0),"",J7/I7-1)</f>
      </c>
      <c r="K26" s="17">
        <f>IF(OR(K$25="",$A26="",NOT(ISNUMBER(K7)),NOT(ISNUMBER(J7)),N(J7)=0),"",K7/J7-1)</f>
      </c>
      <c r="L26" s="17">
        <f>IF(OR(L$25="",$A26="",NOT(ISNUMBER(L7)),NOT(ISNUMBER(K7)),N(K7)=0),"",L7/K7-1)</f>
      </c>
      <c r="M26" s="17">
        <f>IF(OR(M$25="",$A26="",NOT(ISNUMBER(M7)),NOT(ISNUMBER(L7)),N(L7)=0),"",M7/L7-1)</f>
      </c>
      <c r="N26" s="17">
        <f>IF(OR(N$25="",$A26="",NOT(ISNUMBER(N7)),NOT(ISNUMBER(M7)),N(M7)=0),"",N7/M7-1)</f>
      </c>
      <c r="O26" s="17">
        <f>IF(OR(O$25="",$A26="",NOT(ISNUMBER(O7)),NOT(ISNUMBER(N7)),N(N7)=0),"",O7/N7-1)</f>
      </c>
      <c r="P26" s="17">
        <f>IF(OR(P$25="",$A26="",NOT(ISNUMBER(P7)),NOT(ISNUMBER(O7)),N(O7)=0),"",P7/O7-1)</f>
      </c>
    </row>
    <row r="27">
      <c r="A27">
        <f>IF(OR(A8="",A9=""),"",A8)</f>
      </c>
      <c r="B27" s="17">
        <f>IF(OR(B$25="",$A27="",NOT(ISNUMBER(B8)),NOT(ISNUMBER(A8)),N(A8)=0),"",B8/A8-1)</f>
      </c>
      <c r="C27" s="17">
        <f>IF(OR(C$25="",$A27="",NOT(ISNUMBER(C8)),NOT(ISNUMBER(B8)),N(B8)=0),"",C8/B8-1)</f>
      </c>
      <c r="D27" s="17">
        <f>IF(OR(D$25="",$A27="",NOT(ISNUMBER(D8)),NOT(ISNUMBER(C8)),N(C8)=0),"",D8/C8-1)</f>
      </c>
      <c r="E27" s="17">
        <f>IF(OR(E$25="",$A27="",NOT(ISNUMBER(E8)),NOT(ISNUMBER(D8)),N(D8)=0),"",E8/D8-1)</f>
      </c>
      <c r="F27" s="17">
        <f>IF(OR(F$25="",$A27="",NOT(ISNUMBER(F8)),NOT(ISNUMBER(E8)),N(E8)=0),"",F8/E8-1)</f>
      </c>
      <c r="G27" s="17">
        <f>IF(OR(G$25="",$A27="",NOT(ISNUMBER(G8)),NOT(ISNUMBER(F8)),N(F8)=0),"",G8/F8-1)</f>
      </c>
      <c r="H27" s="17">
        <f>IF(OR(H$25="",$A27="",NOT(ISNUMBER(H8)),NOT(ISNUMBER(G8)),N(G8)=0),"",H8/G8-1)</f>
      </c>
      <c r="I27" s="17">
        <f>IF(OR(I$25="",$A27="",NOT(ISNUMBER(I8)),NOT(ISNUMBER(H8)),N(H8)=0),"",I8/H8-1)</f>
      </c>
      <c r="J27" s="17">
        <f>IF(OR(J$25="",$A27="",NOT(ISNUMBER(J8)),NOT(ISNUMBER(I8)),N(I8)=0),"",J8/I8-1)</f>
      </c>
      <c r="K27" s="17">
        <f>IF(OR(K$25="",$A27="",NOT(ISNUMBER(K8)),NOT(ISNUMBER(J8)),N(J8)=0),"",K8/J8-1)</f>
      </c>
      <c r="L27" s="17">
        <f>IF(OR(L$25="",$A27="",NOT(ISNUMBER(L8)),NOT(ISNUMBER(K8)),N(K8)=0),"",L8/K8-1)</f>
      </c>
      <c r="M27" s="17">
        <f>IF(OR(M$25="",$A27="",NOT(ISNUMBER(M8)),NOT(ISNUMBER(L8)),N(L8)=0),"",M8/L8-1)</f>
      </c>
      <c r="N27" s="17">
        <f>IF(OR(N$25="",$A27="",NOT(ISNUMBER(N8)),NOT(ISNUMBER(M8)),N(M8)=0),"",N8/M8-1)</f>
      </c>
      <c r="O27" s="17">
        <f>IF(OR(O$25="",$A27="",NOT(ISNUMBER(O8)),NOT(ISNUMBER(N8)),N(N8)=0),"",O8/N8-1)</f>
      </c>
      <c r="P27" s="17">
        <f>IF(OR(P$25="",$A27="",NOT(ISNUMBER(P8)),NOT(ISNUMBER(O8)),N(O8)=0),"",P8/O8-1)</f>
      </c>
    </row>
    <row r="28">
      <c r="A28">
        <f>IF(OR(A9="",A10=""),"",A9)</f>
      </c>
      <c r="B28" s="17">
        <f>IF(OR(B$25="",$A28="",NOT(ISNUMBER(B9)),NOT(ISNUMBER(A9)),N(A9)=0),"",B9/A9-1)</f>
      </c>
      <c r="C28" s="17">
        <f>IF(OR(C$25="",$A28="",NOT(ISNUMBER(C9)),NOT(ISNUMBER(B9)),N(B9)=0),"",C9/B9-1)</f>
      </c>
      <c r="D28" s="17">
        <f>IF(OR(D$25="",$A28="",NOT(ISNUMBER(D9)),NOT(ISNUMBER(C9)),N(C9)=0),"",D9/C9-1)</f>
      </c>
      <c r="E28" s="17">
        <f>IF(OR(E$25="",$A28="",NOT(ISNUMBER(E9)),NOT(ISNUMBER(D9)),N(D9)=0),"",E9/D9-1)</f>
      </c>
      <c r="F28" s="17">
        <f>IF(OR(F$25="",$A28="",NOT(ISNUMBER(F9)),NOT(ISNUMBER(E9)),N(E9)=0),"",F9/E9-1)</f>
      </c>
      <c r="G28" s="17">
        <f>IF(OR(G$25="",$A28="",NOT(ISNUMBER(G9)),NOT(ISNUMBER(F9)),N(F9)=0),"",G9/F9-1)</f>
      </c>
      <c r="H28" s="17">
        <f>IF(OR(H$25="",$A28="",NOT(ISNUMBER(H9)),NOT(ISNUMBER(G9)),N(G9)=0),"",H9/G9-1)</f>
      </c>
      <c r="I28" s="17">
        <f>IF(OR(I$25="",$A28="",NOT(ISNUMBER(I9)),NOT(ISNUMBER(H9)),N(H9)=0),"",I9/H9-1)</f>
      </c>
      <c r="J28" s="17">
        <f>IF(OR(J$25="",$A28="",NOT(ISNUMBER(J9)),NOT(ISNUMBER(I9)),N(I9)=0),"",J9/I9-1)</f>
      </c>
      <c r="K28" s="17">
        <f>IF(OR(K$25="",$A28="",NOT(ISNUMBER(K9)),NOT(ISNUMBER(J9)),N(J9)=0),"",K9/J9-1)</f>
      </c>
      <c r="L28" s="17">
        <f>IF(OR(L$25="",$A28="",NOT(ISNUMBER(L9)),NOT(ISNUMBER(K9)),N(K9)=0),"",L9/K9-1)</f>
      </c>
      <c r="M28" s="17">
        <f>IF(OR(M$25="",$A28="",NOT(ISNUMBER(M9)),NOT(ISNUMBER(L9)),N(L9)=0),"",M9/L9-1)</f>
      </c>
      <c r="N28" s="17">
        <f>IF(OR(N$25="",$A28="",NOT(ISNUMBER(N9)),NOT(ISNUMBER(M9)),N(M9)=0),"",N9/M9-1)</f>
      </c>
      <c r="O28" s="17">
        <f>IF(OR(O$25="",$A28="",NOT(ISNUMBER(O9)),NOT(ISNUMBER(N9)),N(N9)=0),"",O9/N9-1)</f>
      </c>
      <c r="P28" s="17">
        <f>IF(OR(P$25="",$A28="",NOT(ISNUMBER(P9)),NOT(ISNUMBER(O9)),N(O9)=0),"",P9/O9-1)</f>
      </c>
    </row>
    <row r="29">
      <c r="A29">
        <f>IF(OR(A10="",A11=""),"",A10)</f>
      </c>
      <c r="B29" s="17">
        <f>IF(OR(B$25="",$A29="",NOT(ISNUMBER(B10)),NOT(ISNUMBER(A10)),N(A10)=0),"",B10/A10-1)</f>
      </c>
      <c r="C29" s="17">
        <f>IF(OR(C$25="",$A29="",NOT(ISNUMBER(C10)),NOT(ISNUMBER(B10)),N(B10)=0),"",C10/B10-1)</f>
      </c>
      <c r="D29" s="17">
        <f>IF(OR(D$25="",$A29="",NOT(ISNUMBER(D10)),NOT(ISNUMBER(C10)),N(C10)=0),"",D10/C10-1)</f>
      </c>
      <c r="E29" s="17">
        <f>IF(OR(E$25="",$A29="",NOT(ISNUMBER(E10)),NOT(ISNUMBER(D10)),N(D10)=0),"",E10/D10-1)</f>
      </c>
      <c r="F29" s="17">
        <f>IF(OR(F$25="",$A29="",NOT(ISNUMBER(F10)),NOT(ISNUMBER(E10)),N(E10)=0),"",F10/E10-1)</f>
      </c>
      <c r="G29" s="17">
        <f>IF(OR(G$25="",$A29="",NOT(ISNUMBER(G10)),NOT(ISNUMBER(F10)),N(F10)=0),"",G10/F10-1)</f>
      </c>
      <c r="H29" s="17">
        <f>IF(OR(H$25="",$A29="",NOT(ISNUMBER(H10)),NOT(ISNUMBER(G10)),N(G10)=0),"",H10/G10-1)</f>
      </c>
      <c r="I29" s="17">
        <f>IF(OR(I$25="",$A29="",NOT(ISNUMBER(I10)),NOT(ISNUMBER(H10)),N(H10)=0),"",I10/H10-1)</f>
      </c>
      <c r="J29" s="17">
        <f>IF(OR(J$25="",$A29="",NOT(ISNUMBER(J10)),NOT(ISNUMBER(I10)),N(I10)=0),"",J10/I10-1)</f>
      </c>
      <c r="K29" s="17">
        <f>IF(OR(K$25="",$A29="",NOT(ISNUMBER(K10)),NOT(ISNUMBER(J10)),N(J10)=0),"",K10/J10-1)</f>
      </c>
      <c r="L29" s="17">
        <f>IF(OR(L$25="",$A29="",NOT(ISNUMBER(L10)),NOT(ISNUMBER(K10)),N(K10)=0),"",L10/K10-1)</f>
      </c>
      <c r="M29" s="17">
        <f>IF(OR(M$25="",$A29="",NOT(ISNUMBER(M10)),NOT(ISNUMBER(L10)),N(L10)=0),"",M10/L10-1)</f>
      </c>
      <c r="N29" s="17">
        <f>IF(OR(N$25="",$A29="",NOT(ISNUMBER(N10)),NOT(ISNUMBER(M10)),N(M10)=0),"",N10/M10-1)</f>
      </c>
      <c r="O29" s="17">
        <f>IF(OR(O$25="",$A29="",NOT(ISNUMBER(O10)),NOT(ISNUMBER(N10)),N(N10)=0),"",O10/N10-1)</f>
      </c>
      <c r="P29" s="17">
        <f>IF(OR(P$25="",$A29="",NOT(ISNUMBER(P10)),NOT(ISNUMBER(O10)),N(O10)=0),"",P10/O10-1)</f>
      </c>
    </row>
    <row r="30">
      <c r="A30">
        <f>IF(OR(A11="",A12=""),"",A11)</f>
      </c>
      <c r="B30" s="17">
        <f>IF(OR(B$25="",$A30="",NOT(ISNUMBER(B11)),NOT(ISNUMBER(A11)),N(A11)=0),"",B11/A11-1)</f>
      </c>
      <c r="C30" s="17">
        <f>IF(OR(C$25="",$A30="",NOT(ISNUMBER(C11)),NOT(ISNUMBER(B11)),N(B11)=0),"",C11/B11-1)</f>
      </c>
      <c r="D30" s="17">
        <f>IF(OR(D$25="",$A30="",NOT(ISNUMBER(D11)),NOT(ISNUMBER(C11)),N(C11)=0),"",D11/C11-1)</f>
      </c>
      <c r="E30" s="17">
        <f>IF(OR(E$25="",$A30="",NOT(ISNUMBER(E11)),NOT(ISNUMBER(D11)),N(D11)=0),"",E11/D11-1)</f>
      </c>
      <c r="F30" s="17">
        <f>IF(OR(F$25="",$A30="",NOT(ISNUMBER(F11)),NOT(ISNUMBER(E11)),N(E11)=0),"",F11/E11-1)</f>
      </c>
      <c r="G30" s="17">
        <f>IF(OR(G$25="",$A30="",NOT(ISNUMBER(G11)),NOT(ISNUMBER(F11)),N(F11)=0),"",G11/F11-1)</f>
      </c>
      <c r="H30" s="17">
        <f>IF(OR(H$25="",$A30="",NOT(ISNUMBER(H11)),NOT(ISNUMBER(G11)),N(G11)=0),"",H11/G11-1)</f>
      </c>
      <c r="I30" s="17">
        <f>IF(OR(I$25="",$A30="",NOT(ISNUMBER(I11)),NOT(ISNUMBER(H11)),N(H11)=0),"",I11/H11-1)</f>
      </c>
      <c r="J30" s="17">
        <f>IF(OR(J$25="",$A30="",NOT(ISNUMBER(J11)),NOT(ISNUMBER(I11)),N(I11)=0),"",J11/I11-1)</f>
      </c>
      <c r="K30" s="17">
        <f>IF(OR(K$25="",$A30="",NOT(ISNUMBER(K11)),NOT(ISNUMBER(J11)),N(J11)=0),"",K11/J11-1)</f>
      </c>
      <c r="L30" s="17">
        <f>IF(OR(L$25="",$A30="",NOT(ISNUMBER(L11)),NOT(ISNUMBER(K11)),N(K11)=0),"",L11/K11-1)</f>
      </c>
      <c r="M30" s="17">
        <f>IF(OR(M$25="",$A30="",NOT(ISNUMBER(M11)),NOT(ISNUMBER(L11)),N(L11)=0),"",M11/L11-1)</f>
      </c>
      <c r="N30" s="17">
        <f>IF(OR(N$25="",$A30="",NOT(ISNUMBER(N11)),NOT(ISNUMBER(M11)),N(M11)=0),"",N11/M11-1)</f>
      </c>
      <c r="O30" s="17">
        <f>IF(OR(O$25="",$A30="",NOT(ISNUMBER(O11)),NOT(ISNUMBER(N11)),N(N11)=0),"",O11/N11-1)</f>
      </c>
      <c r="P30" s="17">
        <f>IF(OR(P$25="",$A30="",NOT(ISNUMBER(P11)),NOT(ISNUMBER(O11)),N(O11)=0),"",P11/O11-1)</f>
      </c>
    </row>
    <row r="31">
      <c r="A31">
        <f>IF(OR(A12="",A13=""),"",A12)</f>
      </c>
      <c r="B31" s="17">
        <f>IF(OR(B$25="",$A31="",NOT(ISNUMBER(B12)),NOT(ISNUMBER(A12)),N(A12)=0),"",B12/A12-1)</f>
      </c>
      <c r="C31" s="17">
        <f>IF(OR(C$25="",$A31="",NOT(ISNUMBER(C12)),NOT(ISNUMBER(B12)),N(B12)=0),"",C12/B12-1)</f>
      </c>
      <c r="D31" s="17">
        <f>IF(OR(D$25="",$A31="",NOT(ISNUMBER(D12)),NOT(ISNUMBER(C12)),N(C12)=0),"",D12/C12-1)</f>
      </c>
      <c r="E31" s="17">
        <f>IF(OR(E$25="",$A31="",NOT(ISNUMBER(E12)),NOT(ISNUMBER(D12)),N(D12)=0),"",E12/D12-1)</f>
      </c>
      <c r="F31" s="17">
        <f>IF(OR(F$25="",$A31="",NOT(ISNUMBER(F12)),NOT(ISNUMBER(E12)),N(E12)=0),"",F12/E12-1)</f>
      </c>
      <c r="G31" s="17">
        <f>IF(OR(G$25="",$A31="",NOT(ISNUMBER(G12)),NOT(ISNUMBER(F12)),N(F12)=0),"",G12/F12-1)</f>
      </c>
      <c r="H31" s="17">
        <f>IF(OR(H$25="",$A31="",NOT(ISNUMBER(H12)),NOT(ISNUMBER(G12)),N(G12)=0),"",H12/G12-1)</f>
      </c>
      <c r="I31" s="17">
        <f>IF(OR(I$25="",$A31="",NOT(ISNUMBER(I12)),NOT(ISNUMBER(H12)),N(H12)=0),"",I12/H12-1)</f>
      </c>
      <c r="J31" s="17">
        <f>IF(OR(J$25="",$A31="",NOT(ISNUMBER(J12)),NOT(ISNUMBER(I12)),N(I12)=0),"",J12/I12-1)</f>
      </c>
      <c r="K31" s="17">
        <f>IF(OR(K$25="",$A31="",NOT(ISNUMBER(K12)),NOT(ISNUMBER(J12)),N(J12)=0),"",K12/J12-1)</f>
      </c>
      <c r="L31" s="17">
        <f>IF(OR(L$25="",$A31="",NOT(ISNUMBER(L12)),NOT(ISNUMBER(K12)),N(K12)=0),"",L12/K12-1)</f>
      </c>
      <c r="M31" s="17">
        <f>IF(OR(M$25="",$A31="",NOT(ISNUMBER(M12)),NOT(ISNUMBER(L12)),N(L12)=0),"",M12/L12-1)</f>
      </c>
      <c r="N31" s="17">
        <f>IF(OR(N$25="",$A31="",NOT(ISNUMBER(N12)),NOT(ISNUMBER(M12)),N(M12)=0),"",N12/M12-1)</f>
      </c>
      <c r="O31" s="17">
        <f>IF(OR(O$25="",$A31="",NOT(ISNUMBER(O12)),NOT(ISNUMBER(N12)),N(N12)=0),"",O12/N12-1)</f>
      </c>
      <c r="P31" s="17">
        <f>IF(OR(P$25="",$A31="",NOT(ISNUMBER(P12)),NOT(ISNUMBER(O12)),N(O12)=0),"",P12/O12-1)</f>
      </c>
    </row>
    <row r="32">
      <c r="A32">
        <f>IF(OR(A13="",A14=""),"",A13)</f>
      </c>
      <c r="B32" s="17">
        <f>IF(OR(B$25="",$A32="",NOT(ISNUMBER(B13)),NOT(ISNUMBER(A13)),N(A13)=0),"",B13/A13-1)</f>
      </c>
      <c r="C32" s="17">
        <f>IF(OR(C$25="",$A32="",NOT(ISNUMBER(C13)),NOT(ISNUMBER(B13)),N(B13)=0),"",C13/B13-1)</f>
      </c>
      <c r="D32" s="17">
        <f>IF(OR(D$25="",$A32="",NOT(ISNUMBER(D13)),NOT(ISNUMBER(C13)),N(C13)=0),"",D13/C13-1)</f>
      </c>
      <c r="E32" s="17">
        <f>IF(OR(E$25="",$A32="",NOT(ISNUMBER(E13)),NOT(ISNUMBER(D13)),N(D13)=0),"",E13/D13-1)</f>
      </c>
      <c r="F32" s="17">
        <f>IF(OR(F$25="",$A32="",NOT(ISNUMBER(F13)),NOT(ISNUMBER(E13)),N(E13)=0),"",F13/E13-1)</f>
      </c>
      <c r="G32" s="17">
        <f>IF(OR(G$25="",$A32="",NOT(ISNUMBER(G13)),NOT(ISNUMBER(F13)),N(F13)=0),"",G13/F13-1)</f>
      </c>
      <c r="H32" s="17">
        <f>IF(OR(H$25="",$A32="",NOT(ISNUMBER(H13)),NOT(ISNUMBER(G13)),N(G13)=0),"",H13/G13-1)</f>
      </c>
      <c r="I32" s="17">
        <f>IF(OR(I$25="",$A32="",NOT(ISNUMBER(I13)),NOT(ISNUMBER(H13)),N(H13)=0),"",I13/H13-1)</f>
      </c>
      <c r="J32" s="17">
        <f>IF(OR(J$25="",$A32="",NOT(ISNUMBER(J13)),NOT(ISNUMBER(I13)),N(I13)=0),"",J13/I13-1)</f>
      </c>
      <c r="K32" s="17">
        <f>IF(OR(K$25="",$A32="",NOT(ISNUMBER(K13)),NOT(ISNUMBER(J13)),N(J13)=0),"",K13/J13-1)</f>
      </c>
      <c r="L32" s="17">
        <f>IF(OR(L$25="",$A32="",NOT(ISNUMBER(L13)),NOT(ISNUMBER(K13)),N(K13)=0),"",L13/K13-1)</f>
      </c>
      <c r="M32" s="17">
        <f>IF(OR(M$25="",$A32="",NOT(ISNUMBER(M13)),NOT(ISNUMBER(L13)),N(L13)=0),"",M13/L13-1)</f>
      </c>
      <c r="N32" s="17">
        <f>IF(OR(N$25="",$A32="",NOT(ISNUMBER(N13)),NOT(ISNUMBER(M13)),N(M13)=0),"",N13/M13-1)</f>
      </c>
      <c r="O32" s="17">
        <f>IF(OR(O$25="",$A32="",NOT(ISNUMBER(O13)),NOT(ISNUMBER(N13)),N(N13)=0),"",O13/N13-1)</f>
      </c>
      <c r="P32" s="17">
        <f>IF(OR(P$25="",$A32="",NOT(ISNUMBER(P13)),NOT(ISNUMBER(O13)),N(O13)=0),"",P13/O13-1)</f>
      </c>
    </row>
    <row r="33">
      <c r="A33">
        <f>IF(OR(A14="",A15=""),"",A14)</f>
      </c>
      <c r="B33" s="17">
        <f>IF(OR(B$25="",$A33="",NOT(ISNUMBER(B14)),NOT(ISNUMBER(A14)),N(A14)=0),"",B14/A14-1)</f>
      </c>
      <c r="C33" s="17">
        <f>IF(OR(C$25="",$A33="",NOT(ISNUMBER(C14)),NOT(ISNUMBER(B14)),N(B14)=0),"",C14/B14-1)</f>
      </c>
      <c r="D33" s="17">
        <f>IF(OR(D$25="",$A33="",NOT(ISNUMBER(D14)),NOT(ISNUMBER(C14)),N(C14)=0),"",D14/C14-1)</f>
      </c>
      <c r="E33" s="17">
        <f>IF(OR(E$25="",$A33="",NOT(ISNUMBER(E14)),NOT(ISNUMBER(D14)),N(D14)=0),"",E14/D14-1)</f>
      </c>
      <c r="F33" s="17">
        <f>IF(OR(F$25="",$A33="",NOT(ISNUMBER(F14)),NOT(ISNUMBER(E14)),N(E14)=0),"",F14/E14-1)</f>
      </c>
      <c r="G33" s="17">
        <f>IF(OR(G$25="",$A33="",NOT(ISNUMBER(G14)),NOT(ISNUMBER(F14)),N(F14)=0),"",G14/F14-1)</f>
      </c>
      <c r="H33" s="17">
        <f>IF(OR(H$25="",$A33="",NOT(ISNUMBER(H14)),NOT(ISNUMBER(G14)),N(G14)=0),"",H14/G14-1)</f>
      </c>
      <c r="I33" s="17">
        <f>IF(OR(I$25="",$A33="",NOT(ISNUMBER(I14)),NOT(ISNUMBER(H14)),N(H14)=0),"",I14/H14-1)</f>
      </c>
      <c r="J33" s="17">
        <f>IF(OR(J$25="",$A33="",NOT(ISNUMBER(J14)),NOT(ISNUMBER(I14)),N(I14)=0),"",J14/I14-1)</f>
      </c>
      <c r="K33" s="17">
        <f>IF(OR(K$25="",$A33="",NOT(ISNUMBER(K14)),NOT(ISNUMBER(J14)),N(J14)=0),"",K14/J14-1)</f>
      </c>
      <c r="L33" s="17">
        <f>IF(OR(L$25="",$A33="",NOT(ISNUMBER(L14)),NOT(ISNUMBER(K14)),N(K14)=0),"",L14/K14-1)</f>
      </c>
      <c r="M33" s="17">
        <f>IF(OR(M$25="",$A33="",NOT(ISNUMBER(M14)),NOT(ISNUMBER(L14)),N(L14)=0),"",M14/L14-1)</f>
      </c>
      <c r="N33" s="17">
        <f>IF(OR(N$25="",$A33="",NOT(ISNUMBER(N14)),NOT(ISNUMBER(M14)),N(M14)=0),"",N14/M14-1)</f>
      </c>
      <c r="O33" s="17">
        <f>IF(OR(O$25="",$A33="",NOT(ISNUMBER(O14)),NOT(ISNUMBER(N14)),N(N14)=0),"",O14/N14-1)</f>
      </c>
      <c r="P33" s="17">
        <f>IF(OR(P$25="",$A33="",NOT(ISNUMBER(P14)),NOT(ISNUMBER(O14)),N(O14)=0),"",P14/O14-1)</f>
      </c>
    </row>
    <row r="34">
      <c r="A34">
        <f>IF(OR(A15="",A16=""),"",A15)</f>
      </c>
      <c r="B34" s="17">
        <f>IF(OR(B$25="",$A34="",NOT(ISNUMBER(B15)),NOT(ISNUMBER(A15)),N(A15)=0),"",B15/A15-1)</f>
      </c>
      <c r="C34" s="17">
        <f>IF(OR(C$25="",$A34="",NOT(ISNUMBER(C15)),NOT(ISNUMBER(B15)),N(B15)=0),"",C15/B15-1)</f>
      </c>
      <c r="D34" s="17">
        <f>IF(OR(D$25="",$A34="",NOT(ISNUMBER(D15)),NOT(ISNUMBER(C15)),N(C15)=0),"",D15/C15-1)</f>
      </c>
      <c r="E34" s="17">
        <f>IF(OR(E$25="",$A34="",NOT(ISNUMBER(E15)),NOT(ISNUMBER(D15)),N(D15)=0),"",E15/D15-1)</f>
      </c>
      <c r="F34" s="17">
        <f>IF(OR(F$25="",$A34="",NOT(ISNUMBER(F15)),NOT(ISNUMBER(E15)),N(E15)=0),"",F15/E15-1)</f>
      </c>
      <c r="G34" s="17">
        <f>IF(OR(G$25="",$A34="",NOT(ISNUMBER(G15)),NOT(ISNUMBER(F15)),N(F15)=0),"",G15/F15-1)</f>
      </c>
      <c r="H34" s="17">
        <f>IF(OR(H$25="",$A34="",NOT(ISNUMBER(H15)),NOT(ISNUMBER(G15)),N(G15)=0),"",H15/G15-1)</f>
      </c>
      <c r="I34" s="17">
        <f>IF(OR(I$25="",$A34="",NOT(ISNUMBER(I15)),NOT(ISNUMBER(H15)),N(H15)=0),"",I15/H15-1)</f>
      </c>
      <c r="J34" s="17">
        <f>IF(OR(J$25="",$A34="",NOT(ISNUMBER(J15)),NOT(ISNUMBER(I15)),N(I15)=0),"",J15/I15-1)</f>
      </c>
      <c r="K34" s="17">
        <f>IF(OR(K$25="",$A34="",NOT(ISNUMBER(K15)),NOT(ISNUMBER(J15)),N(J15)=0),"",K15/J15-1)</f>
      </c>
      <c r="L34" s="17">
        <f>IF(OR(L$25="",$A34="",NOT(ISNUMBER(L15)),NOT(ISNUMBER(K15)),N(K15)=0),"",L15/K15-1)</f>
      </c>
      <c r="M34" s="17">
        <f>IF(OR(M$25="",$A34="",NOT(ISNUMBER(M15)),NOT(ISNUMBER(L15)),N(L15)=0),"",M15/L15-1)</f>
      </c>
      <c r="N34" s="17">
        <f>IF(OR(N$25="",$A34="",NOT(ISNUMBER(N15)),NOT(ISNUMBER(M15)),N(M15)=0),"",N15/M15-1)</f>
      </c>
      <c r="O34" s="17">
        <f>IF(OR(O$25="",$A34="",NOT(ISNUMBER(O15)),NOT(ISNUMBER(N15)),N(N15)=0),"",O15/N15-1)</f>
      </c>
      <c r="P34" s="17">
        <f>IF(OR(P$25="",$A34="",NOT(ISNUMBER(P15)),NOT(ISNUMBER(O15)),N(O15)=0),"",P15/O15-1)</f>
      </c>
    </row>
    <row r="35">
      <c r="A35">
        <f>IF(OR(A16="",A17=""),"",A16)</f>
      </c>
      <c r="B35" s="17">
        <f>IF(OR(B$25="",$A35="",NOT(ISNUMBER(B16)),NOT(ISNUMBER(A16)),N(A16)=0),"",B16/A16-1)</f>
      </c>
      <c r="C35" s="17">
        <f>IF(OR(C$25="",$A35="",NOT(ISNUMBER(C16)),NOT(ISNUMBER(B16)),N(B16)=0),"",C16/B16-1)</f>
      </c>
      <c r="D35" s="17">
        <f>IF(OR(D$25="",$A35="",NOT(ISNUMBER(D16)),NOT(ISNUMBER(C16)),N(C16)=0),"",D16/C16-1)</f>
      </c>
      <c r="E35" s="17">
        <f>IF(OR(E$25="",$A35="",NOT(ISNUMBER(E16)),NOT(ISNUMBER(D16)),N(D16)=0),"",E16/D16-1)</f>
      </c>
      <c r="F35" s="17">
        <f>IF(OR(F$25="",$A35="",NOT(ISNUMBER(F16)),NOT(ISNUMBER(E16)),N(E16)=0),"",F16/E16-1)</f>
      </c>
      <c r="G35" s="17">
        <f>IF(OR(G$25="",$A35="",NOT(ISNUMBER(G16)),NOT(ISNUMBER(F16)),N(F16)=0),"",G16/F16-1)</f>
      </c>
      <c r="H35" s="17">
        <f>IF(OR(H$25="",$A35="",NOT(ISNUMBER(H16)),NOT(ISNUMBER(G16)),N(G16)=0),"",H16/G16-1)</f>
      </c>
      <c r="I35" s="17">
        <f>IF(OR(I$25="",$A35="",NOT(ISNUMBER(I16)),NOT(ISNUMBER(H16)),N(H16)=0),"",I16/H16-1)</f>
      </c>
      <c r="J35" s="17">
        <f>IF(OR(J$25="",$A35="",NOT(ISNUMBER(J16)),NOT(ISNUMBER(I16)),N(I16)=0),"",J16/I16-1)</f>
      </c>
      <c r="K35" s="17">
        <f>IF(OR(K$25="",$A35="",NOT(ISNUMBER(K16)),NOT(ISNUMBER(J16)),N(J16)=0),"",K16/J16-1)</f>
      </c>
      <c r="L35" s="17">
        <f>IF(OR(L$25="",$A35="",NOT(ISNUMBER(L16)),NOT(ISNUMBER(K16)),N(K16)=0),"",L16/K16-1)</f>
      </c>
      <c r="M35" s="17">
        <f>IF(OR(M$25="",$A35="",NOT(ISNUMBER(M16)),NOT(ISNUMBER(L16)),N(L16)=0),"",M16/L16-1)</f>
      </c>
      <c r="N35" s="17">
        <f>IF(OR(N$25="",$A35="",NOT(ISNUMBER(N16)),NOT(ISNUMBER(M16)),N(M16)=0),"",N16/M16-1)</f>
      </c>
      <c r="O35" s="17">
        <f>IF(OR(O$25="",$A35="",NOT(ISNUMBER(O16)),NOT(ISNUMBER(N16)),N(N16)=0),"",O16/N16-1)</f>
      </c>
      <c r="P35" s="17">
        <f>IF(OR(P$25="",$A35="",NOT(ISNUMBER(P16)),NOT(ISNUMBER(O16)),N(O16)=0),"",P16/O16-1)</f>
      </c>
    </row>
    <row r="36">
      <c r="A36">
        <f>IF(OR(A17="",A18=""),"",A17)</f>
      </c>
      <c r="B36" s="17">
        <f>IF(OR(B$25="",$A36="",NOT(ISNUMBER(B17)),NOT(ISNUMBER(A17)),N(A17)=0),"",B17/A17-1)</f>
      </c>
      <c r="C36" s="17">
        <f>IF(OR(C$25="",$A36="",NOT(ISNUMBER(C17)),NOT(ISNUMBER(B17)),N(B17)=0),"",C17/B17-1)</f>
      </c>
      <c r="D36" s="17">
        <f>IF(OR(D$25="",$A36="",NOT(ISNUMBER(D17)),NOT(ISNUMBER(C17)),N(C17)=0),"",D17/C17-1)</f>
      </c>
      <c r="E36" s="17">
        <f>IF(OR(E$25="",$A36="",NOT(ISNUMBER(E17)),NOT(ISNUMBER(D17)),N(D17)=0),"",E17/D17-1)</f>
      </c>
      <c r="F36" s="17">
        <f>IF(OR(F$25="",$A36="",NOT(ISNUMBER(F17)),NOT(ISNUMBER(E17)),N(E17)=0),"",F17/E17-1)</f>
      </c>
      <c r="G36" s="17">
        <f>IF(OR(G$25="",$A36="",NOT(ISNUMBER(G17)),NOT(ISNUMBER(F17)),N(F17)=0),"",G17/F17-1)</f>
      </c>
      <c r="H36" s="17">
        <f>IF(OR(H$25="",$A36="",NOT(ISNUMBER(H17)),NOT(ISNUMBER(G17)),N(G17)=0),"",H17/G17-1)</f>
      </c>
      <c r="I36" s="17">
        <f>IF(OR(I$25="",$A36="",NOT(ISNUMBER(I17)),NOT(ISNUMBER(H17)),N(H17)=0),"",I17/H17-1)</f>
      </c>
      <c r="J36" s="17">
        <f>IF(OR(J$25="",$A36="",NOT(ISNUMBER(J17)),NOT(ISNUMBER(I17)),N(I17)=0),"",J17/I17-1)</f>
      </c>
      <c r="K36" s="17">
        <f>IF(OR(K$25="",$A36="",NOT(ISNUMBER(K17)),NOT(ISNUMBER(J17)),N(J17)=0),"",K17/J17-1)</f>
      </c>
      <c r="L36" s="17">
        <f>IF(OR(L$25="",$A36="",NOT(ISNUMBER(L17)),NOT(ISNUMBER(K17)),N(K17)=0),"",L17/K17-1)</f>
      </c>
      <c r="M36" s="17">
        <f>IF(OR(M$25="",$A36="",NOT(ISNUMBER(M17)),NOT(ISNUMBER(L17)),N(L17)=0),"",M17/L17-1)</f>
      </c>
      <c r="N36" s="17">
        <f>IF(OR(N$25="",$A36="",NOT(ISNUMBER(N17)),NOT(ISNUMBER(M17)),N(M17)=0),"",N17/M17-1)</f>
      </c>
      <c r="O36" s="17">
        <f>IF(OR(O$25="",$A36="",NOT(ISNUMBER(O17)),NOT(ISNUMBER(N17)),N(N17)=0),"",O17/N17-1)</f>
      </c>
      <c r="P36" s="17">
        <f>IF(OR(P$25="",$A36="",NOT(ISNUMBER(P17)),NOT(ISNUMBER(O17)),N(O17)=0),"",P17/O17-1)</f>
      </c>
    </row>
    <row r="37">
      <c r="A37">
        <f>IF(OR(A18="",A19=""),"",A18)</f>
      </c>
      <c r="B37" s="17">
        <f>IF(OR(B$25="",$A37="",NOT(ISNUMBER(B18)),NOT(ISNUMBER(A18)),N(A18)=0),"",B18/A18-1)</f>
      </c>
      <c r="C37" s="17">
        <f>IF(OR(C$25="",$A37="",NOT(ISNUMBER(C18)),NOT(ISNUMBER(B18)),N(B18)=0),"",C18/B18-1)</f>
      </c>
      <c r="D37" s="17">
        <f>IF(OR(D$25="",$A37="",NOT(ISNUMBER(D18)),NOT(ISNUMBER(C18)),N(C18)=0),"",D18/C18-1)</f>
      </c>
      <c r="E37" s="17">
        <f>IF(OR(E$25="",$A37="",NOT(ISNUMBER(E18)),NOT(ISNUMBER(D18)),N(D18)=0),"",E18/D18-1)</f>
      </c>
      <c r="F37" s="17">
        <f>IF(OR(F$25="",$A37="",NOT(ISNUMBER(F18)),NOT(ISNUMBER(E18)),N(E18)=0),"",F18/E18-1)</f>
      </c>
      <c r="G37" s="17">
        <f>IF(OR(G$25="",$A37="",NOT(ISNUMBER(G18)),NOT(ISNUMBER(F18)),N(F18)=0),"",G18/F18-1)</f>
      </c>
      <c r="H37" s="17">
        <f>IF(OR(H$25="",$A37="",NOT(ISNUMBER(H18)),NOT(ISNUMBER(G18)),N(G18)=0),"",H18/G18-1)</f>
      </c>
      <c r="I37" s="17">
        <f>IF(OR(I$25="",$A37="",NOT(ISNUMBER(I18)),NOT(ISNUMBER(H18)),N(H18)=0),"",I18/H18-1)</f>
      </c>
      <c r="J37" s="17">
        <f>IF(OR(J$25="",$A37="",NOT(ISNUMBER(J18)),NOT(ISNUMBER(I18)),N(I18)=0),"",J18/I18-1)</f>
      </c>
      <c r="K37" s="17">
        <f>IF(OR(K$25="",$A37="",NOT(ISNUMBER(K18)),NOT(ISNUMBER(J18)),N(J18)=0),"",K18/J18-1)</f>
      </c>
      <c r="L37" s="17">
        <f>IF(OR(L$25="",$A37="",NOT(ISNUMBER(L18)),NOT(ISNUMBER(K18)),N(K18)=0),"",L18/K18-1)</f>
      </c>
      <c r="M37" s="17">
        <f>IF(OR(M$25="",$A37="",NOT(ISNUMBER(M18)),NOT(ISNUMBER(L18)),N(L18)=0),"",M18/L18-1)</f>
      </c>
      <c r="N37" s="17">
        <f>IF(OR(N$25="",$A37="",NOT(ISNUMBER(N18)),NOT(ISNUMBER(M18)),N(M18)=0),"",N18/M18-1)</f>
      </c>
      <c r="O37" s="17">
        <f>IF(OR(O$25="",$A37="",NOT(ISNUMBER(O18)),NOT(ISNUMBER(N18)),N(N18)=0),"",O18/N18-1)</f>
      </c>
      <c r="P37" s="17">
        <f>IF(OR(P$25="",$A37="",NOT(ISNUMBER(P18)),NOT(ISNUMBER(O18)),N(O18)=0),"",P18/O18-1)</f>
      </c>
    </row>
    <row r="38">
      <c r="A38">
        <f>IF(OR(A19="",A20=""),"",A19)</f>
      </c>
      <c r="B38" s="17">
        <f>IF(OR(B$25="",$A38="",NOT(ISNUMBER(B19)),NOT(ISNUMBER(A19)),N(A19)=0),"",B19/A19-1)</f>
      </c>
      <c r="C38" s="17">
        <f>IF(OR(C$25="",$A38="",NOT(ISNUMBER(C19)),NOT(ISNUMBER(B19)),N(B19)=0),"",C19/B19-1)</f>
      </c>
      <c r="D38" s="17">
        <f>IF(OR(D$25="",$A38="",NOT(ISNUMBER(D19)),NOT(ISNUMBER(C19)),N(C19)=0),"",D19/C19-1)</f>
      </c>
      <c r="E38" s="17">
        <f>IF(OR(E$25="",$A38="",NOT(ISNUMBER(E19)),NOT(ISNUMBER(D19)),N(D19)=0),"",E19/D19-1)</f>
      </c>
      <c r="F38" s="17">
        <f>IF(OR(F$25="",$A38="",NOT(ISNUMBER(F19)),NOT(ISNUMBER(E19)),N(E19)=0),"",F19/E19-1)</f>
      </c>
      <c r="G38" s="17">
        <f>IF(OR(G$25="",$A38="",NOT(ISNUMBER(G19)),NOT(ISNUMBER(F19)),N(F19)=0),"",G19/F19-1)</f>
      </c>
      <c r="H38" s="17">
        <f>IF(OR(H$25="",$A38="",NOT(ISNUMBER(H19)),NOT(ISNUMBER(G19)),N(G19)=0),"",H19/G19-1)</f>
      </c>
      <c r="I38" s="17">
        <f>IF(OR(I$25="",$A38="",NOT(ISNUMBER(I19)),NOT(ISNUMBER(H19)),N(H19)=0),"",I19/H19-1)</f>
      </c>
      <c r="J38" s="17">
        <f>IF(OR(J$25="",$A38="",NOT(ISNUMBER(J19)),NOT(ISNUMBER(I19)),N(I19)=0),"",J19/I19-1)</f>
      </c>
      <c r="K38" s="17">
        <f>IF(OR(K$25="",$A38="",NOT(ISNUMBER(K19)),NOT(ISNUMBER(J19)),N(J19)=0),"",K19/J19-1)</f>
      </c>
      <c r="L38" s="17">
        <f>IF(OR(L$25="",$A38="",NOT(ISNUMBER(L19)),NOT(ISNUMBER(K19)),N(K19)=0),"",L19/K19-1)</f>
      </c>
      <c r="M38" s="17">
        <f>IF(OR(M$25="",$A38="",NOT(ISNUMBER(M19)),NOT(ISNUMBER(L19)),N(L19)=0),"",M19/L19-1)</f>
      </c>
      <c r="N38" s="17">
        <f>IF(OR(N$25="",$A38="",NOT(ISNUMBER(N19)),NOT(ISNUMBER(M19)),N(M19)=0),"",N19/M19-1)</f>
      </c>
      <c r="O38" s="17">
        <f>IF(OR(O$25="",$A38="",NOT(ISNUMBER(O19)),NOT(ISNUMBER(N19)),N(N19)=0),"",O19/N19-1)</f>
      </c>
      <c r="P38" s="17">
        <f>IF(OR(P$25="",$A38="",NOT(ISNUMBER(P19)),NOT(ISNUMBER(O19)),N(O19)=0),"",P19/O19-1)</f>
      </c>
    </row>
    <row r="39">
      <c r="A39">
        <f>IF(OR(A20="",A21=""),"",A20)</f>
      </c>
      <c r="B39" s="17">
        <f>IF(OR(B$25="",$A39="",NOT(ISNUMBER(B20)),NOT(ISNUMBER(A20)),N(A20)=0),"",B20/A20-1)</f>
      </c>
      <c r="C39" s="17">
        <f>IF(OR(C$25="",$A39="",NOT(ISNUMBER(C20)),NOT(ISNUMBER(B20)),N(B20)=0),"",C20/B20-1)</f>
      </c>
      <c r="D39" s="17">
        <f>IF(OR(D$25="",$A39="",NOT(ISNUMBER(D20)),NOT(ISNUMBER(C20)),N(C20)=0),"",D20/C20-1)</f>
      </c>
      <c r="E39" s="17">
        <f>IF(OR(E$25="",$A39="",NOT(ISNUMBER(E20)),NOT(ISNUMBER(D20)),N(D20)=0),"",E20/D20-1)</f>
      </c>
      <c r="F39" s="17">
        <f>IF(OR(F$25="",$A39="",NOT(ISNUMBER(F20)),NOT(ISNUMBER(E20)),N(E20)=0),"",F20/E20-1)</f>
      </c>
      <c r="G39" s="17">
        <f>IF(OR(G$25="",$A39="",NOT(ISNUMBER(G20)),NOT(ISNUMBER(F20)),N(F20)=0),"",G20/F20-1)</f>
      </c>
      <c r="H39" s="17">
        <f>IF(OR(H$25="",$A39="",NOT(ISNUMBER(H20)),NOT(ISNUMBER(G20)),N(G20)=0),"",H20/G20-1)</f>
      </c>
      <c r="I39" s="17">
        <f>IF(OR(I$25="",$A39="",NOT(ISNUMBER(I20)),NOT(ISNUMBER(H20)),N(H20)=0),"",I20/H20-1)</f>
      </c>
      <c r="J39" s="17">
        <f>IF(OR(J$25="",$A39="",NOT(ISNUMBER(J20)),NOT(ISNUMBER(I20)),N(I20)=0),"",J20/I20-1)</f>
      </c>
      <c r="K39" s="17">
        <f>IF(OR(K$25="",$A39="",NOT(ISNUMBER(K20)),NOT(ISNUMBER(J20)),N(J20)=0),"",K20/J20-1)</f>
      </c>
      <c r="L39" s="17">
        <f>IF(OR(L$25="",$A39="",NOT(ISNUMBER(L20)),NOT(ISNUMBER(K20)),N(K20)=0),"",L20/K20-1)</f>
      </c>
      <c r="M39" s="17">
        <f>IF(OR(M$25="",$A39="",NOT(ISNUMBER(M20)),NOT(ISNUMBER(L20)),N(L20)=0),"",M20/L20-1)</f>
      </c>
      <c r="N39" s="17">
        <f>IF(OR(N$25="",$A39="",NOT(ISNUMBER(N20)),NOT(ISNUMBER(M20)),N(M20)=0),"",N20/M20-1)</f>
      </c>
      <c r="O39" s="17">
        <f>IF(OR(O$25="",$A39="",NOT(ISNUMBER(O20)),NOT(ISNUMBER(N20)),N(N20)=0),"",O20/N20-1)</f>
      </c>
      <c r="P39" s="17">
        <f>IF(OR(P$25="",$A39="",NOT(ISNUMBER(P20)),NOT(ISNUMBER(O20)),N(O20)=0),"",P20/O20-1)</f>
      </c>
    </row>
    <row r="40">
      <c r="A40">
        <f>IF(OR(A21="",A22=""),"",A21)</f>
      </c>
      <c r="B40" s="17">
        <f>IF(OR(B$25="",$A40="",NOT(ISNUMBER(B21)),NOT(ISNUMBER(A21)),N(A21)=0),"",B21/A21-1)</f>
      </c>
      <c r="C40" s="17">
        <f>IF(OR(C$25="",$A40="",NOT(ISNUMBER(C21)),NOT(ISNUMBER(B21)),N(B21)=0),"",C21/B21-1)</f>
      </c>
      <c r="D40" s="17">
        <f>IF(OR(D$25="",$A40="",NOT(ISNUMBER(D21)),NOT(ISNUMBER(C21)),N(C21)=0),"",D21/C21-1)</f>
      </c>
      <c r="E40" s="17">
        <f>IF(OR(E$25="",$A40="",NOT(ISNUMBER(E21)),NOT(ISNUMBER(D21)),N(D21)=0),"",E21/D21-1)</f>
      </c>
      <c r="F40" s="17">
        <f>IF(OR(F$25="",$A40="",NOT(ISNUMBER(F21)),NOT(ISNUMBER(E21)),N(E21)=0),"",F21/E21-1)</f>
      </c>
      <c r="G40" s="17">
        <f>IF(OR(G$25="",$A40="",NOT(ISNUMBER(G21)),NOT(ISNUMBER(F21)),N(F21)=0),"",G21/F21-1)</f>
      </c>
      <c r="H40" s="17">
        <f>IF(OR(H$25="",$A40="",NOT(ISNUMBER(H21)),NOT(ISNUMBER(G21)),N(G21)=0),"",H21/G21-1)</f>
      </c>
      <c r="I40" s="17">
        <f>IF(OR(I$25="",$A40="",NOT(ISNUMBER(I21)),NOT(ISNUMBER(H21)),N(H21)=0),"",I21/H21-1)</f>
      </c>
      <c r="J40" s="17">
        <f>IF(OR(J$25="",$A40="",NOT(ISNUMBER(J21)),NOT(ISNUMBER(I21)),N(I21)=0),"",J21/I21-1)</f>
      </c>
      <c r="K40" s="17">
        <f>IF(OR(K$25="",$A40="",NOT(ISNUMBER(K21)),NOT(ISNUMBER(J21)),N(J21)=0),"",K21/J21-1)</f>
      </c>
      <c r="L40" s="17">
        <f>IF(OR(L$25="",$A40="",NOT(ISNUMBER(L21)),NOT(ISNUMBER(K21)),N(K21)=0),"",L21/K21-1)</f>
      </c>
      <c r="M40" s="17">
        <f>IF(OR(M$25="",$A40="",NOT(ISNUMBER(M21)),NOT(ISNUMBER(L21)),N(L21)=0),"",M21/L21-1)</f>
      </c>
      <c r="N40" s="17">
        <f>IF(OR(N$25="",$A40="",NOT(ISNUMBER(N21)),NOT(ISNUMBER(M21)),N(M21)=0),"",N21/M21-1)</f>
      </c>
      <c r="O40" s="17">
        <f>IF(OR(O$25="",$A40="",NOT(ISNUMBER(O21)),NOT(ISNUMBER(N21)),N(N21)=0),"",O21/N21-1)</f>
      </c>
      <c r="P40" s="17">
        <f>IF(OR(P$25="",$A40="",NOT(ISNUMBER(P21)),NOT(ISNUMBER(O21)),N(O21)=0),"",P21/O21-1)</f>
      </c>
    </row>
    <row r="41">
      <c r="A41" s="15" t="inlineStr">
        <is>
          <t xml:space="preserve">Total (meses comparables)</t>
        </is>
      </c>
      <c r="B41" s="17">
        <f>IF(B$25="","",IFERROR(SUMPRODUCT(ISNUMBER(B7:B21)*ISNUMBER(A7:A21)*($A8:$A22&lt;&gt;""),B7:B21)/SUMPRODUCT(ISNUMBER(B7:B21)*ISNUMBER(A7:A21)*($A8:$A22&lt;&gt;""),A7:A21)-1,""))</f>
      </c>
      <c r="C41" s="17">
        <f>IF(C$25="","",IFERROR(SUMPRODUCT(ISNUMBER(C7:C21)*ISNUMBER(B7:B21)*($A8:$A22&lt;&gt;""),C7:C21)/SUMPRODUCT(ISNUMBER(C7:C21)*ISNUMBER(B7:B21)*($A8:$A22&lt;&gt;""),B7:B21)-1,""))</f>
      </c>
      <c r="D41" s="17">
        <f>IF(D$25="","",IFERROR(SUMPRODUCT(ISNUMBER(D7:D21)*ISNUMBER(C7:C21)*($A8:$A22&lt;&gt;""),D7:D21)/SUMPRODUCT(ISNUMBER(D7:D21)*ISNUMBER(C7:C21)*($A8:$A22&lt;&gt;""),C7:C21)-1,""))</f>
      </c>
      <c r="E41" s="17">
        <f>IF(E$25="","",IFERROR(SUMPRODUCT(ISNUMBER(E7:E21)*ISNUMBER(D7:D21)*($A8:$A22&lt;&gt;""),E7:E21)/SUMPRODUCT(ISNUMBER(E7:E21)*ISNUMBER(D7:D21)*($A8:$A22&lt;&gt;""),D7:D21)-1,""))</f>
      </c>
      <c r="F41" s="17">
        <f>IF(F$25="","",IFERROR(SUMPRODUCT(ISNUMBER(F7:F21)*ISNUMBER(E7:E21)*($A8:$A22&lt;&gt;""),F7:F21)/SUMPRODUCT(ISNUMBER(F7:F21)*ISNUMBER(E7:E21)*($A8:$A22&lt;&gt;""),E7:E21)-1,""))</f>
      </c>
      <c r="G41" s="17">
        <f>IF(G$25="","",IFERROR(SUMPRODUCT(ISNUMBER(G7:G21)*ISNUMBER(F7:F21)*($A8:$A22&lt;&gt;""),G7:G21)/SUMPRODUCT(ISNUMBER(G7:G21)*ISNUMBER(F7:F21)*($A8:$A22&lt;&gt;""),F7:F21)-1,""))</f>
      </c>
      <c r="H41" s="17">
        <f>IF(H$25="","",IFERROR(SUMPRODUCT(ISNUMBER(H7:H21)*ISNUMBER(G7:G21)*($A8:$A22&lt;&gt;""),H7:H21)/SUMPRODUCT(ISNUMBER(H7:H21)*ISNUMBER(G7:G21)*($A8:$A22&lt;&gt;""),G7:G21)-1,""))</f>
      </c>
      <c r="I41" s="17">
        <f>IF(I$25="","",IFERROR(SUMPRODUCT(ISNUMBER(I7:I21)*ISNUMBER(H7:H21)*($A8:$A22&lt;&gt;""),I7:I21)/SUMPRODUCT(ISNUMBER(I7:I21)*ISNUMBER(H7:H21)*($A8:$A22&lt;&gt;""),H7:H21)-1,""))</f>
      </c>
      <c r="J41" s="17">
        <f>IF(J$25="","",IFERROR(SUMPRODUCT(ISNUMBER(J7:J21)*ISNUMBER(I7:I21)*($A8:$A22&lt;&gt;""),J7:J21)/SUMPRODUCT(ISNUMBER(J7:J21)*ISNUMBER(I7:I21)*($A8:$A22&lt;&gt;""),I7:I21)-1,""))</f>
      </c>
      <c r="K41" s="17">
        <f>IF(K$25="","",IFERROR(SUMPRODUCT(ISNUMBER(K7:K21)*ISNUMBER(J7:J21)*($A8:$A22&lt;&gt;""),K7:K21)/SUMPRODUCT(ISNUMBER(K7:K21)*ISNUMBER(J7:J21)*($A8:$A22&lt;&gt;""),J7:J21)-1,""))</f>
      </c>
      <c r="L41" s="17">
        <f>IF(L$25="","",IFERROR(SUMPRODUCT(ISNUMBER(L7:L21)*ISNUMBER(K7:K21)*($A8:$A22&lt;&gt;""),L7:L21)/SUMPRODUCT(ISNUMBER(L7:L21)*ISNUMBER(K7:K21)*($A8:$A22&lt;&gt;""),K7:K21)-1,""))</f>
      </c>
      <c r="M41" s="17">
        <f>IF(M$25="","",IFERROR(SUMPRODUCT(ISNUMBER(M7:M21)*ISNUMBER(L7:L21)*($A8:$A22&lt;&gt;""),M7:M21)/SUMPRODUCT(ISNUMBER(M7:M21)*ISNUMBER(L7:L21)*($A8:$A22&lt;&gt;""),L7:L21)-1,""))</f>
      </c>
      <c r="N41" s="17">
        <f>IF(N$25="","",IFERROR(SUMPRODUCT(ISNUMBER(N7:N21)*ISNUMBER(M7:M21)*($A8:$A22&lt;&gt;""),N7:N21)/SUMPRODUCT(ISNUMBER(N7:N21)*ISNUMBER(M7:M21)*($A8:$A22&lt;&gt;""),M7:M21)-1,""))</f>
      </c>
      <c r="O41" s="17">
        <f>IF(O$25="","",IFERROR(SUMPRODUCT(ISNUMBER(O7:O21)*ISNUMBER(N7:N21)*($A8:$A22&lt;&gt;""),O7:O21)/SUMPRODUCT(ISNUMBER(O7:O21)*ISNUMBER(N7:N21)*($A8:$A22&lt;&gt;""),N7:N21)-1,""))</f>
      </c>
      <c r="P41" s="17">
        <f>IF(P$25="","",IFERROR(SUMPRODUCT(ISNUMBER(P7:P21)*ISNUMBER(O7:O21)*($A8:$A22&lt;&gt;""),P7:P21)/SUMPRODUCT(ISNUMBER(P7:P21)*ISNUMBER(O7:O21)*($A8:$A22&lt;&gt;""),O7:O21)-1,""))</f>
      </c>
    </row>
  </sheetData>
  <conditionalFormatting sqref="B26:P41">
    <cfRule type="cellIs" dxfId="19" priority="1" operator="greaterThan">
      <formula>0</formula>
    </cfRule>
    <cfRule type="cellIs" dxfId="20" priority="2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7109375" customWidth="1"/>
    <col min="2" max="2" width="16.7109375" style="18" customWidth="1"/>
    <col min="3" max="5" width="10.7109375" customWidth="1"/>
    <col min="6" max="6" width="12.7109375" style="6" customWidth="1"/>
  </cols>
  <sheetData>
    <row r="1">
      <c r="A1" t="inlineStr">
        <is>
          <t xml:space="preserve">factura</t>
        </is>
      </c>
      <c r="B1" t="inlineStr">
        <is>
          <t xml:space="preserve">fecha</t>
        </is>
      </c>
      <c r="C1" t="inlineStr">
        <is>
          <t xml:space="preserve">año</t>
        </is>
      </c>
      <c r="D1" t="inlineStr">
        <is>
          <t xml:space="preserve">lineas</t>
        </is>
      </c>
      <c r="E1" t="inlineStr">
        <is>
          <t xml:space="preserve">unidades</t>
        </is>
      </c>
      <c r="F1" t="inlineStr">
        <is>
          <t xml:space="preserve">importe</t>
        </is>
      </c>
    </row>
    <row r="2">
      <c r="A2" t="inlineStr">
        <is>
          <t xml:space="preserve">0000-000-000001</t>
        </is>
      </c>
      <c r="B2" s="18">
        <v>45093</v>
      </c>
      <c r="C2">
        <v>2023</v>
      </c>
      <c r="D2">
        <v>1</v>
      </c>
      <c r="E2">
        <v>2</v>
      </c>
      <c r="F2" s="6">
        <v>3.5</v>
      </c>
    </row>
    <row r="3">
      <c r="A3" t="inlineStr">
        <is>
          <t xml:space="preserve">0000-000-000002</t>
        </is>
      </c>
      <c r="B3" s="18">
        <v>45094</v>
      </c>
      <c r="C3">
        <v>2023</v>
      </c>
      <c r="D3">
        <v>1</v>
      </c>
      <c r="E3">
        <v>1</v>
      </c>
      <c r="F3" s="6">
        <v>0.48</v>
      </c>
    </row>
  </sheetData>
  <autoFilter ref="A1:F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A1" sqref="A1"/>
    </sheetView>
  </sheetViews>
  <sheetFormatPr defaultRowHeight="15"/>
  <cols>
    <col min="1" max="1" width="22" customWidth="1"/>
    <col min="2" max="4" width="15" customWidth="1"/>
  </cols>
  <sheetData>
    <row r="1">
      <c r="A1" s="14" t="inlineStr">
        <is>
          <t xml:space="preserve">Facturas por número de unidades</t>
        </is>
      </c>
    </row>
    <row r="2">
      <c r="A2" s="16" t="inlineStr">
        <is>
          <t xml:space="preserve">Cuántos tickets hay según las unidades compradas en cada uno (de 10 en 10: 0-9, 10-19...), con su peso sobre el total y el importe medio del ticket en ese rango. Separa las compras pequeñas de reposición de las compras grandes.</t>
        </is>
      </c>
    </row>
    <row r="3">
      <c r="A3" s="16" t="inlineStr">
        <is>
          <t xml:space="preserve">Un producto a peso cuenta como 1 unidad. Para cambiar el tamaño del rango: botón derecho sobre la columna de rangos &gt; Agrupar. Datos de origen: hoja Facturas (una fila por ticket).</t>
        </is>
      </c>
    </row>
    <row r="5">
      <c r="A5" s="2" t="inlineStr">
        <is>
          <t xml:space="preserve">año</t>
        </is>
      </c>
      <c r="B5" t="inlineStr">
        <is>
          <t xml:space="preserve">(Todas)</t>
        </is>
      </c>
    </row>
    <row r="7">
      <c r="A7" s="2" t="inlineStr">
        <is>
          <t xml:space="preserve">Unidades por ticket</t>
        </is>
      </c>
      <c r="B7" t="inlineStr">
        <is>
          <t xml:space="preserve">Facturas</t>
        </is>
      </c>
      <c r="C7" t="inlineStr">
        <is>
          <t xml:space="preserve">% facturas</t>
        </is>
      </c>
      <c r="D7" t="inlineStr">
        <is>
          <t xml:space="preserve">Importe medio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Datos</vt:lpstr>
      <vt:lpstr>Facturas</vt:lpstr>
      <vt:lpstr>Productos</vt:lpstr>
      <vt:lpstr>Pareto</vt:lpstr>
      <vt:lpstr>MiInflación</vt:lpstr>
      <vt:lpstr>Interanual</vt:lpstr>
      <vt:lpstr>T_Precio</vt:lpstr>
      <vt:lpstr>T_Cantidad</vt:lpstr>
      <vt:lpstr>Mes</vt:lpstr>
      <vt:lpstr>Año</vt:lpstr>
      <vt:lpstr>Último</vt:lpstr>
      <vt:lpstr>Evolucion-€</vt:lpstr>
      <vt:lpstr>Evolucion-N</vt:lpstr>
      <vt:lpstr>FacturasUnid</vt:lpstr>
      <vt:lpstr>Datos!export_personal_dataa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dserrada@gmail.com</dc:creator>
  <cp:lastModifiedBy>dserrada@gmail.com</cp:lastModifiedBy>
  <dcterms:created xsi:type="dcterms:W3CDTF">2026-04-11T20:20:23Z</dcterms:created>
  <dcterms:modified xsi:type="dcterms:W3CDTF">2026-09-12T13:46:20Z</dcterms:modified>
</cp:coreProperties>
</file>